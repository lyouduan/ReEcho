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xlycheng\Desktop\"/>
  <bookViews>
    <workbookView activeTab="0"/>
  </bookViews>
  <sheets>
    <sheet name="怪物基础设定" sheetId="1" r:id="rId3"/>
    <sheet name="怪物属性和投放成长表" sheetId="2" r:id="rId4"/>
    <sheet name="全怪物技能表" sheetId="3" r:id="rId5"/>
    <sheet name="双形态" sheetId="4" r:id="rId6"/>
  </sheets>
  <calcPr calcId="191029"/>
</workbook>
</file>

<file path=xl/sharedStrings.xml><?xml version="1.0" encoding="utf-8"?>
<sst xmlns="http://schemas.openxmlformats.org/spreadsheetml/2006/main" count="264" uniqueCount="264">
  <si>
    <t/>
  </si>
  <si>
    <t>ReEcho 全怪物技能表 ★策划调参入口★ 前摇 / 后摇 / 伤害 / 范围 / 弹数 / 散射角</t>
  </si>
  <si>
    <t>序号</t>
  </si>
  <si>
    <t>怪物ID</t>
  </si>
  <si>
    <t>怪物名</t>
  </si>
  <si>
    <t>技能ID</t>
  </si>
  <si>
    <t>技能名</t>
  </si>
  <si>
    <t>技能类型</t>
  </si>
  <si>
    <t>触发条件</t>
  </si>
  <si>
    <t>锁定时机</t>
  </si>
  <si>
    <t>前摇
(s)</t>
  </si>
  <si>
    <t>出手关键帧</t>
  </si>
  <si>
    <t>后摇
(s)</t>
  </si>
  <si>
    <t>冷却
(s)</t>
  </si>
  <si>
    <t>弹数</t>
  </si>
  <si>
    <t>单发
伤害</t>
  </si>
  <si>
    <t>齐射总
伤害</t>
  </si>
  <si>
    <t>二阶段
总伤害</t>
  </si>
  <si>
    <t>伤害
类型</t>
  </si>
  <si>
    <t>作用范围</t>
  </si>
  <si>
    <t>触发距离
/射程</t>
  </si>
  <si>
    <t>弹速
(m/s)</t>
  </si>
  <si>
    <t>弹道间隔
(s)</t>
  </si>
  <si>
    <t>散射角</t>
  </si>
  <si>
    <t>施法中
可移动</t>
  </si>
  <si>
    <t>位移
距离</t>
  </si>
  <si>
    <t>动作描述 / 程序实现要点</t>
  </si>
  <si>
    <t>—</t>
  </si>
  <si>
    <t>String</t>
  </si>
  <si>
    <t>Enum</t>
  </si>
  <si>
    <t>Float</t>
  </si>
  <si>
    <t>Int</t>
  </si>
  <si>
    <t>Bool</t>
  </si>
  <si>
    <t>field_id</t>
  </si>
  <si>
    <t>monster_id</t>
  </si>
  <si>
    <t>monster_name</t>
  </si>
  <si>
    <t>skill_id</t>
  </si>
  <si>
    <t>skill_name</t>
  </si>
  <si>
    <t>type</t>
  </si>
  <si>
    <t>trigger</t>
  </si>
  <si>
    <t>lock_timing</t>
  </si>
  <si>
    <t>telegraph</t>
  </si>
  <si>
    <t>hit_frame</t>
  </si>
  <si>
    <t>recovery</t>
  </si>
  <si>
    <t>cooldown</t>
  </si>
  <si>
    <t>proj_count</t>
  </si>
  <si>
    <t>dmg_per_proj</t>
  </si>
  <si>
    <t>dmg_total</t>
  </si>
  <si>
    <t>dmg_total_p2</t>
  </si>
  <si>
    <t>dmg_type</t>
  </si>
  <si>
    <t>aoe_range</t>
  </si>
  <si>
    <t>trigger_dist</t>
  </si>
  <si>
    <t>proj_speed</t>
  </si>
  <si>
    <t>proj_interval</t>
  </si>
  <si>
    <t>spread_angle</t>
  </si>
  <si>
    <t>move_while_cast</t>
  </si>
  <si>
    <t>dash_dist</t>
  </si>
  <si>
    <t>remark</t>
  </si>
  <si>
    <t>M_SLIME</t>
  </si>
  <si>
    <t>史莱姆</t>
  </si>
  <si>
    <t>SL_01</t>
  </si>
  <si>
    <t>触碰攻击</t>
  </si>
  <si>
    <t>近战·持续接触</t>
  </si>
  <si>
    <t>目标进入触碰体积</t>
  </si>
  <si>
    <t>无（无锁定）</t>
  </si>
  <si>
    <t>HitBox 重叠帧</t>
  </si>
  <si>
    <t>待定(暂物理)</t>
  </si>
  <si>
    <t>自身碰撞体积</t>
  </si>
  <si>
    <t>触碰出伤</t>
  </si>
  <si>
    <t>否</t>
  </si>
  <si>
    <t>HitBox 触碰即结算，播放动画/特效后进入攻击间隔。无前摇无后摇 → 全表唯一无预警伤害，靠体型辨识度补偿。移速 0.8 &lt; 玩家 1.0，可被风筝</t>
  </si>
  <si>
    <t>M_RABBIT</t>
  </si>
  <si>
    <t>兔子</t>
  </si>
  <si>
    <t>RB_01A</t>
  </si>
  <si>
    <t>站定连射（4连串）</t>
  </si>
  <si>
    <t>远程弹体·站定爆发</t>
  </si>
  <si>
    <t>目标进入射程 且 自身处于可站定状态</t>
  </si>
  <si>
    <t>前摇开始时锁定玩家位置，整串沿同一方向</t>
  </si>
  <si>
    <t>首发弹体生成帧</t>
  </si>
  <si>
    <t>单发半径1.5m</t>
  </si>
  <si>
    <t>10.8m</t>
  </si>
  <si>
    <t>走武器系统</t>
  </si>
  <si>
    <t>0°(同向)</t>
  </si>
  <si>
    <t>★变体A：站定 → 蓄力 0.55s → 连续喷射 4 发形成一串。弹道间隔 0.12s，4 发总时长 0.36s。整串沿同一方向直线排布，玩家垂直于弹道方向侧移即可整串规避。代价：施法全程站定不可移动（含 0.35s 后摇），是玩家的集中输出窗口</t>
  </si>
  <si>
    <t>RB_01B</t>
  </si>
  <si>
    <t>移动散射（3向）</t>
  </si>
  <si>
    <t>远程弹体·移动散射</t>
  </si>
  <si>
    <t>目标进入射程 且 自身正在移动/走位</t>
  </si>
  <si>
    <t>前摇开始时锁定玩家位置，中心弹指向该点</t>
  </si>
  <si>
    <t>三发同帧生成</t>
  </si>
  <si>
    <t>同帧齐发</t>
  </si>
  <si>
    <t>±20°(共40°)</t>
  </si>
  <si>
    <t>是</t>
  </si>
  <si>
    <t>★变体B：移动中蓄力 → 喷射 3 发不同方向子弹（中心 + 左右各 20°）。三发同帧生成，无后摇。覆盖面更广、难以整串规避，但同一目标通常只会被 1 发命中。代价：冷却 2.5s 长于变体A，单次期望伤害更低</t>
  </si>
  <si>
    <t>M_FOX</t>
  </si>
  <si>
    <t>狐狸</t>
  </si>
  <si>
    <t>FX_01</t>
  </si>
  <si>
    <t>突进（长条路径）</t>
  </si>
  <si>
    <t>位移+路径伤害</t>
  </si>
  <si>
    <t>目标进入突进距离</t>
  </si>
  <si>
    <t>前摇锁定路径方向</t>
  </si>
  <si>
    <t>突进启动帧</t>
  </si>
  <si>
    <t>长6.5m × 宽1.4m</t>
  </si>
  <si>
    <t>6.5m</t>
  </si>
  <si>
    <t>前摇 0.8s 亮出长条路径预警，后摇 0.9s 为惩罚窗口。第1关(战斗1-2)整关不投放。移速 1.2 &gt; 玩家，是唯一能主动逼近的普通怪</t>
  </si>
  <si>
    <t>M_SHEEP</t>
  </si>
  <si>
    <t>羊(Boss)</t>
  </si>
  <si>
    <t>SH_01</t>
  </si>
  <si>
    <t>近战挥击（Melee Swing）· 平A</t>
  </si>
  <si>
    <t>近战范围攻击</t>
  </si>
  <si>
    <t>目标进入近战射程</t>
  </si>
  <si>
    <t>前摇锁定挥击方向</t>
  </si>
  <si>
    <t>下砸到地面的帧</t>
  </si>
  <si>
    <t>待定</t>
  </si>
  <si>
    <t>法杖落点半径3m圆</t>
  </si>
  <si>
    <t>2m</t>
  </si>
  <si>
    <t>蓄力：前肢向后向上、躯干反向扭转、双角压低，轮廓形成明确「将挥打」长条形；出手：法杖沿长条快速横扫；后摇：挥击过冲后回正。★范围半径3m &gt; 触发距离1.5~2.0m，玩家后撤2m 仍会被命中，需确认是否有意</t>
  </si>
  <si>
    <t>SH_02A</t>
  </si>
  <si>
    <t>站定连射（4连串·法杖弹）</t>
  </si>
  <si>
    <t>远程射程 且 玩家血量≥80% 或 ≤30%（站定分支）站定和移动随机</t>
  </si>
  <si>
    <t>首发弹体射出帧</t>
  </si>
  <si>
    <t>12m</t>
  </si>
  <si>
    <t>★变体A：从袖中举起法杖 → 站定蓄力 0.8s → 连续喷射 4 发形成一串（弹道间隔 0.15s，串长 0.45s）→ 法杖回收 0.5s。整串同向，侧移可整串规避。★满命中 20 伤害 = 关8玩家生命 50%，与祷告光束首击同级，需保证串的可读性</t>
  </si>
  <si>
    <t>SH_02B</t>
  </si>
  <si>
    <t>移动散射（3向·法杖弹）</t>
  </si>
  <si>
    <t>远程射程 且 玩家血量≥80% 或 ≤30%（移动分支）</t>
  </si>
  <si>
    <t>三发同帧射出</t>
  </si>
  <si>
    <t>★变体B：移动中蓄力 0.8s → 喷射 3 发不同方向法杖弹（中心 + 左右各 20°），同帧生成、无后摇，施法期间保持位移。对同一目标通常只命中 1 发（5 伤害），但封锁走位空间。冷却 2.0s 已是设计说明书 3.2「发射间隔 ≥2s」下限</t>
  </si>
  <si>
    <t>SH_03</t>
  </si>
  <si>
    <t>闪身打击（Blink Strike / 虚空突袭）</t>
  </si>
  <si>
    <t>位移+范围下砸</t>
  </si>
  <si>
    <t>目标拉开距离 / 玩家远离</t>
  </si>
  <si>
    <t>传送落点 = 玩家附近3m内</t>
  </si>
  <si>
    <t>1.0隐身 + 0.5预警</t>
  </si>
  <si>
    <t>法杖下砸帧</t>
  </si>
  <si>
    <t>下砸范围（未定义半径）</t>
  </si>
  <si>
    <t>10m</t>
  </si>
  <si>
    <t>位移中</t>
  </si>
  <si>
    <t>瞬移</t>
  </si>
  <si>
    <t>隐身：身体逐渐透明进入虚空；传送预警：在玩家周围有预警地出现；下砸：举法杖下砸；收招回待机。★30 伤害 = 关8玩家生命 75%，全表最高单次；</t>
  </si>
  <si>
    <t>SH_04</t>
  </si>
  <si>
    <t>祷告光束（Prayer Beam / 锁定光束）</t>
  </si>
  <si>
    <t>锁定范围攻击</t>
  </si>
  <si>
    <t>中远程</t>
  </si>
  <si>
    <t>锁定玩家 0.2s 前的位置后固定</t>
  </si>
  <si>
    <t>抬头双手分开的帧</t>
  </si>
  <si>
    <t>未定义</t>
  </si>
  <si>
    <t>20/次，每0.3s +10</t>
  </si>
  <si>
    <t>见备注</t>
  </si>
  <si>
    <t>30/次，每0.3s +15</t>
  </si>
  <si>
    <t>半径5m</t>
  </si>
  <si>
    <t>20m</t>
  </si>
  <si>
    <t>蓄力：合掌抬高、头部低下；锁定：最后帧锁定落点；触发：抬头双手分开，本帧触发伤害；收招：手臂落回。地面提示圈预警。</t>
  </si>
  <si>
    <t>二、二阶段换算规则（Boss 专用 · 一阶段血条清空后生效）</t>
  </si>
  <si>
    <t>项目</t>
  </si>
  <si>
    <t>一阶段</t>
  </si>
  <si>
    <t>二阶段</t>
  </si>
  <si>
    <t>换算</t>
  </si>
  <si>
    <t>说明</t>
  </si>
  <si>
    <t>技能伤害</t>
  </si>
  <si>
    <t>基准值</t>
  </si>
  <si>
    <t>× 1.5</t>
  </si>
  <si>
    <t>暂定</t>
  </si>
  <si>
    <t>SH_01 10→15、SH_02A 20→30、SH_02B 15→22.5、SH_03 30→45。表中『二阶段总伤害』列已换算</t>
  </si>
  <si>
    <t>技能冷却</t>
  </si>
  <si>
    <t>× 0.7</t>
  </si>
  <si>
    <t>SH_01 3→2.1s、SH_02A 3→2.1s、SH_02B 2→1.4s、SH_03 5→3.5s。★SH_02B 降至 1.4s 会跌破设计说明书『发射间隔 ≥2s』，建议此技能二阶段冷却下限锁 2.0s</t>
  </si>
  <si>
    <t>全局技能间隔</t>
  </si>
  <si>
    <t>1.5s</t>
  </si>
  <si>
    <t>1.0s</t>
  </si>
  <si>
    <t>任意技能结束后的强制间隔，防止前摇重叠形成无解连招</t>
  </si>
  <si>
    <t>前摇 / 后摇</t>
  </si>
  <si>
    <t>不变</t>
  </si>
  <si>
    <t>建议锁定</t>
  </si>
  <si>
    <t>★强烈建议二阶段不压缩前摇。前摇是玩家唯一读招窗口，压缩前摇等于取消可规避性</t>
  </si>
  <si>
    <t>弹数 / 散射角</t>
  </si>
  <si>
    <t>若二阶段把 4 连串加到 6 发，总伤害会达 45（玩家生命 112%），必死。加伤害不加弹数</t>
  </si>
  <si>
    <t>三、全局约束</t>
  </si>
  <si>
    <t>· Boss 各技能发射间隔建议 ≥ 2s（设计说明书 3.2 攻击令牌）。SH_02B 冷却 2.0s 恰在下限，不可再降。</t>
  </si>
  <si>
    <t>· 所有伤害必须有攻击动作或地面预警（设计说明书 4.4）。SL_01 触碰攻击前摇为 0，是唯一例外。</t>
  </si>
  <si>
    <t>· 受击无敌 0.1s：玩家侧同帧多弹只结算一次 —— ★这条对变体B 尤其关键：3 发同帧生成，若同帧命中同一目标只结算 1 发（5 伤害），而非 15。变体B 的设计意图正是封锁走位空间而非爆发伤害。</t>
  </si>
  <si>
    <t>· 变体A 的 4 发为顺序生成（间隔 0.12/0.15s），不受同帧限制，理论可全部命中。</t>
  </si>
  <si>
    <t>· 状态机见《ReEcho-怪物与关卡配置表》Boss状态机：Telegraph 锁定落点后不再跟随玩家移动。</t>
  </si>
  <si>
    <t>触发逻辑：</t>
  </si>
  <si>
    <t>1、怪物和人距离Xm， X=怪物基础设定表-变身范围</t>
  </si>
  <si>
    <t>2、怪物受击X次 X次=怪物基础设定-受击变身次数</t>
  </si>
  <si>
    <t>3、羊例外，羊默认一阶段白色形态，二阶段黑色形态。阶段切换依据为血条清空</t>
  </si>
  <si>
    <t>战斗
编号</t>
  </si>
  <si>
    <t>所属关卡</t>
  </si>
  <si>
    <t>波次</t>
  </si>
  <si>
    <t>触发时间
(s)</t>
  </si>
  <si>
    <t>近战
数量</t>
  </si>
  <si>
    <t>远程
数量</t>
  </si>
  <si>
    <t>精英
数量</t>
  </si>
  <si>
    <t>本波
合计</t>
  </si>
  <si>
    <t>累计
投放</t>
  </si>
  <si>
    <t>活跃单位
上限</t>
  </si>
  <si>
    <t>远程爆点
(1.2s内)</t>
  </si>
  <si>
    <t>备注</t>
  </si>
  <si>
    <t>BOSS数量</t>
  </si>
  <si>
    <t>第1关(1-2)</t>
  </si>
  <si>
    <t>第1波</t>
  </si>
  <si>
    <t>第2波</t>
  </si>
  <si>
    <t>第1关精英置0</t>
  </si>
  <si>
    <t>第3波</t>
  </si>
  <si>
    <t>第2关(3-4-5)</t>
  </si>
  <si>
    <t>第3关(6-7)</t>
  </si>
  <si>
    <t>Boss关</t>
  </si>
  <si>
    <t>Boss+36</t>
  </si>
  <si>
    <t>Boss 于 0s 波同时刷新</t>
  </si>
  <si>
    <t>出生求解参数（沿用草稿，未改动）</t>
  </si>
  <si>
    <t>类型</t>
  </si>
  <si>
    <t>距锚点(m)</t>
  </si>
  <si>
    <t>最小间距(m)</t>
  </si>
  <si>
    <t>预警(s)</t>
  </si>
  <si>
    <t>近战</t>
  </si>
  <si>
    <t>6.2 ~ 8.2</t>
  </si>
  <si>
    <t>远程</t>
  </si>
  <si>
    <t>7.5 ~ 10.0</t>
  </si>
  <si>
    <t>精英</t>
  </si>
  <si>
    <t>7.0 ~ 9.0</t>
  </si>
  <si>
    <t>怪物分战斗数值表 ★主交付★ 客户端按 (怪物ID, 战斗编号) 直接查表</t>
  </si>
  <si>
    <t>名称</t>
  </si>
  <si>
    <t>生命
HP</t>
  </si>
  <si>
    <t>攻击
ATK</t>
  </si>
  <si>
    <t>时间碎片
单只</t>
  </si>
  <si>
    <t>攻击间隔
(s)</t>
  </si>
  <si>
    <t>无</t>
  </si>
  <si>
    <t>第1关不投放精英</t>
  </si>
  <si>
    <t xml:space="preserve">战斗1 </t>
  </si>
  <si>
    <t>战斗2</t>
  </si>
  <si>
    <t>战斗3</t>
  </si>
  <si>
    <t>战斗4</t>
  </si>
  <si>
    <t>战斗5</t>
  </si>
  <si>
    <t>战斗6</t>
  </si>
  <si>
    <t>战斗7</t>
  </si>
  <si>
    <t>Boss关增援，与Boss同场</t>
  </si>
  <si>
    <t>战斗8</t>
  </si>
  <si>
    <t>怪物基础属性 · L1 基准与静态字段（不随战斗成长的字段）</t>
  </si>
  <si>
    <t>基准生命
HP</t>
  </si>
  <si>
    <t>基准攻击
ATK</t>
  </si>
  <si>
    <t>基准移速
假设人物初始移速为1</t>
  </si>
  <si>
    <t>受击变身次数</t>
  </si>
  <si>
    <t>变身范围/m</t>
  </si>
  <si>
    <t>攻击方式</t>
  </si>
  <si>
    <t>攻击射程/范围</t>
  </si>
  <si>
    <t>前摇/预警
(s)</t>
  </si>
  <si>
    <t>特殊机制</t>
  </si>
  <si>
    <t>int</t>
  </si>
  <si>
    <t>普通近战</t>
  </si>
  <si>
    <t>HitBox 触碰即结算，播放动画/特效后进入攻击间隔；无前摇无后摇，靠体型与数量形成包围压力</t>
  </si>
  <si>
    <t>普通远程</t>
  </si>
  <si>
    <t>子弹(远程)</t>
  </si>
  <si>
    <t>半径1.5m</t>
  </si>
  <si>
    <t>远程子弹，弹速与体积走武器系统同一套；前摇（蓄力）0.55s 提供闪避窗口</t>
  </si>
  <si>
    <t>突进(长条路径)</t>
  </si>
  <si>
    <t>长6.5m×宽1.4m</t>
  </si>
  <si>
    <t>长条路径突进；前摇0.8s 亮出路径预警，后摇0.9s 为惩罚窗口。第1关(战斗1-2)整关不投放</t>
  </si>
  <si>
    <t>Boss</t>
  </si>
  <si>
    <t>1300一阶段，650二阶段</t>
  </si>
  <si>
    <t>/</t>
  </si>
  <si>
    <t>平A＋3技能</t>
  </si>
  <si>
    <t>读取BOSS表</t>
  </si>
  <si>
    <t>新增功能：怪物没有进入战斗状态时：（玩家本体和怪物距离大于仇恨范围且未受击）进行无规则行走。</t>
  </si>
</sst>
</file>

<file path=xl/styles.xml><?xml version="1.0" encoding="utf-8"?>
<styleSheet xmlns="http://schemas.openxmlformats.org/spreadsheetml/2006/main">
  <numFmts count="1">
    <numFmt numFmtId="300" formatCode="General"/>
  </numFmts>
  <fonts count="23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family val="2"/>
      <b val="true"/>
      <color rgb="FF1F3864"/>
      <sz val="14"/>
    </font>
    <font>
      <name val="微软雅黑"/>
      <b val="true"/>
      <color rgb="FF1F3864"/>
      <sz val="14"/>
    </font>
    <font>
      <name val="微软雅黑"/>
      <charset val="134"/>
      <family val="2"/>
      <b val="true"/>
      <color rgb="FFFFFFFF"/>
      <sz val="10"/>
    </font>
    <font>
      <name val="微软雅黑"/>
      <b val="true"/>
      <color rgb="FFFFFFFF"/>
      <sz val="10"/>
    </font>
    <font>
      <name val="微软雅黑"/>
      <charset val="134"/>
      <family val="2"/>
      <color rgb="FF1A1A1A"/>
      <sz val="10"/>
    </font>
    <font>
      <name val="微软雅黑"/>
      <color rgb="FF1A1A1A"/>
      <sz val="10"/>
    </font>
    <font>
      <name val="微软雅黑"/>
      <charset val="134"/>
      <family val="2"/>
      <b val="true"/>
      <color rgb="FF1F3864"/>
      <sz val="11"/>
    </font>
    <font>
      <name val="微软雅黑"/>
      <b val="true"/>
      <color rgb="FF1F3864"/>
      <sz val="11"/>
    </font>
    <font>
      <name val="微软雅黑"/>
      <charset val="134"/>
      <family val="2"/>
      <color rgb="FF595959"/>
      <sz val="9"/>
    </font>
    <font>
      <name val="微软雅黑"/>
      <color rgb="FF595959"/>
      <sz val="9"/>
    </font>
    <font>
      <name val="微软雅黑"/>
      <charset val="134"/>
      <family val="2"/>
      <b val="true"/>
      <color rgb="FFFFFFFF"/>
      <sz val="9"/>
    </font>
    <font>
      <name val="微软雅黑"/>
      <charset val="134"/>
      <family val="2"/>
      <color rgb="FF222222"/>
      <sz val="9"/>
    </font>
    <font>
      <name val="微软雅黑"/>
      <color rgb="FF222222"/>
      <sz val="9"/>
    </font>
    <font>
      <name val="微软雅黑"/>
      <charset val="134"/>
      <family val="2"/>
      <b val="true"/>
      <color rgb="FF1F3B57"/>
      <sz val="9"/>
    </font>
    <font>
      <name val="微软雅黑"/>
      <charset val="134"/>
      <family val="2"/>
      <b val="true"/>
      <color rgb="FF1F3B57"/>
      <sz val="13"/>
    </font>
    <font>
      <name val="微软雅黑"/>
      <b val="true"/>
      <color rgb="FF1F3B57"/>
      <sz val="13"/>
    </font>
    <font>
      <name val="微软雅黑"/>
      <b val="true"/>
      <color rgb="FFFFFFFF"/>
      <sz val="9"/>
    </font>
    <font>
      <name val="微软雅黑"/>
      <color rgb="FF222222"/>
      <sz val="9"/>
    </font>
    <font>
      <sz val="8"/>
    </font>
    <font>
      <name val="等线"/>
      <family val="2"/>
      <color theme="1"/>
      <sz val="11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DEBF7"/>
      </patternFill>
    </fill>
    <fill>
      <patternFill patternType="solid">
        <fgColor rgb="FFF2F6F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1F3B57"/>
      </patternFill>
    </fill>
    <fill>
      <patternFill patternType="solid">
        <fgColor rgb="FFF5F8FB"/>
      </patternFill>
    </fill>
    <fill>
      <patternFill patternType="solid">
        <fgColor rgb="FFDCE6F0"/>
      </patternFill>
    </fill>
    <fill>
      <patternFill patternType="solid">
        <fgColor rgb="FFFFF3D6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</border>
    <border>
      <left/>
      <right/>
      <top/>
      <bottom/>
      <diagonal/>
    </border>
  </borders>
  <cellStyleXfs>
    <xf numFmtId="300" fontId="22" fillId="0" borderId="5" xfId="0"/>
  </cellStyleXfs>
  <cellXfs count="6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5" xfId="0" applyFont="true"/>
    <xf numFmtId="300" fontId="22" fillId="0" borderId="5" xfId="0"/>
    <xf numFmtId="300" fontId="4" fillId="0" borderId="5" xfId="0" applyFont="true"/>
    <xf numFmtId="300" fontId="5" fillId="2" borderId="1" xfId="0" applyFont="true" applyFill="true" applyBorder="true" applyAlignment="true">
      <alignment horizontal="center" vertical="center" wrapText="true"/>
    </xf>
    <xf numFmtId="300" fontId="6" fillId="2" borderId="2" xfId="0" applyFont="true" applyFill="true" applyBorder="true" applyAlignment="true">
      <alignment horizontal="center" vertical="center" wrapText="true"/>
    </xf>
    <xf numFmtId="300" fontId="7" fillId="0" borderId="1" xfId="0" applyFont="true" applyBorder="true" applyAlignment="true">
      <alignment horizontal="center" vertical="center" wrapText="true"/>
    </xf>
    <xf numFmtId="300" fontId="7" fillId="0" borderId="1" xfId="0" applyFont="true" applyBorder="true" applyAlignment="true">
      <alignment horizontal="left" vertical="center" wrapText="true"/>
    </xf>
    <xf numFmtId="300" fontId="8" fillId="0" borderId="2" xfId="0" applyFont="true" applyBorder="true" applyAlignment="true">
      <alignment horizontal="left" vertical="center" wrapText="true"/>
    </xf>
    <xf numFmtId="300" fontId="7" fillId="3" borderId="1" xfId="0" applyFont="true" applyFill="true" applyBorder="true" applyAlignment="true">
      <alignment horizontal="center" vertical="center" wrapText="true"/>
    </xf>
    <xf numFmtId="300" fontId="7" fillId="3" borderId="1" xfId="0" applyFont="true" applyFill="true" applyBorder="true" applyAlignment="true">
      <alignment horizontal="left" vertical="center" wrapText="true"/>
    </xf>
    <xf numFmtId="0" fontId="7" fillId="3" borderId="1" xfId="0" applyNumberFormat="true" applyFont="true" applyFill="true" applyBorder="true" applyAlignment="true">
      <alignment horizontal="left" vertical="center" wrapText="true"/>
    </xf>
    <xf numFmtId="300" fontId="8" fillId="3" borderId="2" xfId="0" applyFont="true" applyFill="true" applyBorder="true" applyAlignment="true">
      <alignment horizontal="left" vertical="center" wrapText="true"/>
    </xf>
    <xf numFmtId="0" fontId="7" fillId="3" borderId="1" xfId="0" applyNumberFormat="true" applyFont="true" applyFill="true" applyBorder="true" applyAlignment="true">
      <alignment wrapText="true"/>
    </xf>
    <xf numFmtId="300" fontId="7" fillId="4" borderId="1" xfId="0" applyFont="true" applyFill="true" applyBorder="true" applyAlignment="true">
      <alignment horizontal="center" vertical="center" wrapText="true"/>
    </xf>
    <xf numFmtId="300" fontId="7" fillId="4" borderId="1" xfId="0" applyFont="true" applyFill="true" applyBorder="true" applyAlignment="true">
      <alignment horizontal="left" vertical="center" wrapText="true"/>
    </xf>
    <xf numFmtId="300" fontId="8" fillId="4" borderId="2" xfId="0" applyFont="true" applyFill="true" applyBorder="true" applyAlignment="true">
      <alignment horizontal="left" vertical="center" wrapText="true"/>
    </xf>
    <xf numFmtId="0" fontId="7" fillId="4" borderId="1" xfId="0" applyNumberFormat="true" applyFont="true" applyFill="true" applyBorder="true" applyAlignment="true">
      <alignment horizontal="center" vertical="center" wrapText="true"/>
    </xf>
    <xf numFmtId="300" fontId="7" fillId="5" borderId="1" xfId="0" applyFont="true" applyFill="true" applyBorder="true" applyAlignment="true">
      <alignment horizontal="center" vertical="center" wrapText="true"/>
    </xf>
    <xf numFmtId="300" fontId="7" fillId="5" borderId="1" xfId="0" applyFont="true" applyFill="true" applyBorder="true" applyAlignment="true">
      <alignment horizontal="left" vertical="center" wrapText="true"/>
    </xf>
    <xf numFmtId="300" fontId="8" fillId="5" borderId="2" xfId="0" applyFont="true" applyFill="true" applyBorder="true" applyAlignment="true">
      <alignment horizontal="left" vertical="center" wrapText="true"/>
    </xf>
    <xf numFmtId="0" fontId="7" fillId="5" borderId="1" xfId="0" applyNumberFormat="true" applyFont="true" applyFill="true" applyBorder="true" applyAlignment="true">
      <alignment horizontal="center" vertical="center" wrapText="true"/>
    </xf>
    <xf numFmtId="300" fontId="7" fillId="3" borderId="1" xfId="0" applyFont="true" applyFill="true" applyBorder="true" applyAlignment="true">
      <alignment wrapText="true"/>
    </xf>
    <xf numFmtId="0" fontId="7" fillId="5" borderId="1" xfId="0" applyNumberFormat="true" applyFont="true" applyFill="true" applyBorder="true" applyAlignment="true">
      <alignment wrapText="true"/>
    </xf>
    <xf numFmtId="0" fontId="7" fillId="5" borderId="1" xfId="0" applyNumberFormat="true" applyFont="true" applyFill="true" applyBorder="true" applyAlignment="true">
      <alignment horizontal="left" vertical="center" wrapText="true"/>
    </xf>
    <xf numFmtId="300" fontId="7" fillId="6" borderId="1" xfId="0" applyFont="true" applyFill="true" applyBorder="true" applyAlignment="true">
      <alignment horizontal="center" vertical="center" wrapText="true"/>
    </xf>
    <xf numFmtId="300" fontId="7" fillId="6" borderId="1" xfId="0" applyFont="true" applyFill="true" applyBorder="true" applyAlignment="true">
      <alignment horizontal="left" vertical="center" wrapText="true"/>
    </xf>
    <xf numFmtId="300" fontId="8" fillId="6" borderId="2" xfId="0" applyFont="true" applyFill="true" applyBorder="true" applyAlignment="true">
      <alignment horizontal="left" vertical="center" wrapText="true"/>
    </xf>
    <xf numFmtId="0" fontId="7" fillId="6" borderId="1" xfId="0" applyNumberFormat="true" applyFont="true" applyFill="true" applyBorder="true" applyAlignment="true">
      <alignment wrapText="true"/>
    </xf>
    <xf numFmtId="0" fontId="7" fillId="6" borderId="1" xfId="0" applyNumberFormat="true" applyFont="true" applyFill="true" applyBorder="true" applyAlignment="true">
      <alignment horizontal="left" vertical="center" wrapText="true"/>
    </xf>
    <xf numFmtId="300" fontId="9" fillId="7" borderId="5" xfId="0" applyFont="true" applyFill="true" applyAlignment="true">
      <alignment horizontal="left" vertical="center" wrapText="true"/>
    </xf>
    <xf numFmtId="300" fontId="10" fillId="7" borderId="5" xfId="0" applyFont="true" applyFill="true" applyAlignment="true">
      <alignment horizontal="left" vertical="center" wrapText="true"/>
    </xf>
    <xf numFmtId="300" fontId="8" fillId="0" borderId="2" xfId="0" applyFont="true" applyBorder="true" applyAlignment="true">
      <alignment horizontal="center" vertical="center" wrapText="true"/>
    </xf>
    <xf numFmtId="300" fontId="7" fillId="8" borderId="1" xfId="0" applyFont="true" applyFill="true" applyBorder="true" applyAlignment="true">
      <alignment horizontal="center" vertical="center" wrapText="true"/>
    </xf>
    <xf numFmtId="300" fontId="7" fillId="8" borderId="1" xfId="0" applyFont="true" applyFill="true" applyBorder="true" applyAlignment="true">
      <alignment horizontal="left" vertical="center" wrapText="true"/>
    </xf>
    <xf numFmtId="300" fontId="8" fillId="8" borderId="2" xfId="0" applyFont="true" applyFill="true" applyBorder="true" applyAlignment="true">
      <alignment horizontal="center" vertical="center" wrapText="true"/>
    </xf>
    <xf numFmtId="300" fontId="11" fillId="0" borderId="5" xfId="0" applyFont="true" applyAlignment="true">
      <alignment horizontal="left" vertical="center" wrapText="true"/>
    </xf>
    <xf numFmtId="300" fontId="12" fillId="0" borderId="5" xfId="0" applyFont="true" applyAlignment="true">
      <alignment horizontal="left" vertical="center" wrapText="true"/>
    </xf>
    <xf numFmtId="300" fontId="13" fillId="9" borderId="3" xfId="0" applyFont="true" applyFill="true" applyBorder="true" applyAlignment="true">
      <alignment horizontal="center" vertical="center" wrapText="true"/>
    </xf>
    <xf numFmtId="300" fontId="14" fillId="0" borderId="3" xfId="0" applyFont="true" applyBorder="true" applyAlignment="true">
      <alignment horizontal="center" vertical="center" wrapText="true"/>
    </xf>
    <xf numFmtId="300" fontId="14" fillId="0" borderId="3" xfId="0" applyFont="true" applyBorder="true" applyAlignment="true">
      <alignment wrapText="true"/>
    </xf>
    <xf numFmtId="300" fontId="14" fillId="0" borderId="3" xfId="0" applyFont="true" applyBorder="true" applyAlignment="true">
      <alignment horizontal="left" vertical="center" wrapText="true"/>
    </xf>
    <xf numFmtId="300" fontId="14" fillId="10" borderId="3" xfId="0" applyFont="true" applyFill="true" applyBorder="true" applyAlignment="true">
      <alignment horizontal="center" vertical="center" wrapText="true"/>
    </xf>
    <xf numFmtId="300" fontId="14" fillId="10" borderId="3" xfId="0" applyFont="true" applyFill="true" applyBorder="true" applyAlignment="true">
      <alignment wrapText="true"/>
    </xf>
    <xf numFmtId="300" fontId="14" fillId="10" borderId="3" xfId="0" applyFont="true" applyFill="true" applyBorder="true" applyAlignment="true">
      <alignment horizontal="left" vertical="center" wrapText="true"/>
    </xf>
    <xf fontId="15" fillId="0" borderId="0" xfId="0">
      <alignment wrapText="true"/>
    </xf>
    <xf numFmtId="300" fontId="16" fillId="0" borderId="5" xfId="0" applyFont="true"/>
    <xf numFmtId="300" fontId="15" fillId="0" borderId="5" xfId="0" applyFont="true" applyAlignment="true">
      <alignment wrapText="true"/>
    </xf>
    <xf numFmtId="300" fontId="17" fillId="0" borderId="5" xfId="0" applyFont="true"/>
    <xf numFmtId="300" fontId="13" fillId="9" borderId="3" xfId="0" applyFont="true" applyFill="true" applyBorder="true" applyAlignment="true">
      <alignment wrapText="true"/>
    </xf>
    <xf numFmtId="300" fontId="16" fillId="11" borderId="5" xfId="0" applyFont="true" applyFill="true"/>
    <xf numFmtId="300" fontId="18" fillId="0" borderId="5" xfId="0" applyFont="true"/>
    <xf numFmtId="0" fontId="19" fillId="9" borderId="4" xfId="0">
      <alignment horizontal="center" vertical="center" wrapText="true"/>
    </xf>
    <xf numFmtId="0" fontId="19" fillId="9" borderId="4" xfId="0" applyNumberFormat="true" applyFont="true" applyFill="true" applyBorder="true" applyAlignment="true">
      <alignment horizontal="center" vertical="center" wrapText="true"/>
    </xf>
    <xf numFmtId="0" fontId="20" fillId="0" borderId="4" xfId="0" applyNumberFormat="true" applyFont="true" applyBorder="true" applyAlignment="true">
      <alignment horizontal="center" vertical="center" wrapText="true"/>
    </xf>
    <xf numFmtId="0" fontId="20" fillId="10" borderId="4" xfId="0" applyNumberFormat="true" applyFont="true" applyFill="true" applyBorder="true" applyAlignment="true">
      <alignment horizontal="center" vertical="center" wrapText="true"/>
    </xf>
    <xf numFmtId="300" fontId="14" fillId="12" borderId="3" xfId="0" applyFont="true" applyFill="true" applyBorder="true" applyAlignment="true">
      <alignment horizontal="center" vertical="center" wrapText="true"/>
    </xf>
    <xf numFmtId="300" fontId="14" fillId="12" borderId="3" xfId="0" applyFont="true" applyFill="true" applyBorder="true" applyAlignment="true">
      <alignment wrapText="true"/>
    </xf>
    <xf numFmtId="0" fontId="20" fillId="12" borderId="4" xfId="0" applyNumberFormat="true" applyFont="true" applyFill="true" applyBorder="true" applyAlignment="true">
      <alignment horizontal="center" vertical="center" wrapText="true"/>
    </xf>
    <xf numFmtId="300" fontId="14" fillId="12" borderId="3" xfId="0" applyFont="true" applyFill="true" applyBorder="true" applyAlignment="true">
      <alignment horizontal="left" vertical="center" wrapText="true"/>
    </xf>
    <xf fontId="21" fillId="0" borderId="0" xfId="0">
      <alignment wrapText="true"/>
    </xf>
    <xf fontId="0" fillId="0" borderId="0" xfId="0">
      <alignment wrapText="true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AB199"/>
  <sheetViews>
    <sheetView showGridLines="false" workbookViewId="0"/>
  </sheetViews>
  <sheetFormatPr baseColWidth="8" defaultRowHeight="13.8"/>
  <cols>
    <col min="15" max="15" width="62.2188" customWidth="true"/>
  </cols>
  <sheetData>
    <row r="1" spans="1:15" ht="25.95" customHeight="true">
      <c r="A1" s="51" t="s">
        <v>238</v>
      </c>
      <c r="B1" s="5" t="s"/>
      <c r="C1" s="5" t="s"/>
      <c r="D1" s="5" t="s"/>
      <c r="E1" s="5" t="s"/>
      <c r="F1" s="5" t="s"/>
      <c r="G1" s="5" t="s"/>
      <c r="H1" s="54" t="s"/>
      <c r="I1" s="54" t="s"/>
      <c r="J1" s="5" t="s"/>
      <c r="K1" s="5" t="s"/>
      <c r="L1" s="5" t="s"/>
      <c r="M1" s="5" t="s"/>
      <c r="N1" s="5" t="s"/>
      <c r="O1" s="5" t="s"/>
    </row>
    <row r="3" spans="1:15" s="64" customFormat="true" ht="75" customHeight="true">
      <c r="A3" s="41" t="s">
        <v>2</v>
      </c>
      <c r="B3" s="41" t="s">
        <v>3</v>
      </c>
      <c r="C3" s="41" t="s">
        <v>222</v>
      </c>
      <c r="D3" s="41" t="s">
        <v>211</v>
      </c>
      <c r="E3" s="41" t="s">
        <v>239</v>
      </c>
      <c r="F3" s="41" t="s">
        <v>240</v>
      </c>
      <c r="G3" s="41" t="s">
        <v>241</v>
      </c>
      <c r="H3" s="55" t="s">
        <v>242</v>
      </c>
      <c r="I3" s="56" t="s">
        <v>243</v>
      </c>
      <c r="J3" s="41" t="s">
        <v>244</v>
      </c>
      <c r="K3" s="41" t="s">
        <v>245</v>
      </c>
      <c r="L3" s="41" t="s">
        <v>246</v>
      </c>
      <c r="M3" s="41" t="s">
        <v>226</v>
      </c>
      <c r="N3" s="41" t="s">
        <v>12</v>
      </c>
      <c r="O3" s="41" t="s">
        <v>247</v>
      </c>
    </row>
    <row r="4" spans="1:15" ht="31.95" customHeight="true">
      <c r="A4" s="41" t="s">
        <v>27</v>
      </c>
      <c r="B4" s="41" t="s">
        <v>28</v>
      </c>
      <c r="C4" s="41" t="s">
        <v>28</v>
      </c>
      <c r="D4" s="41" t="s">
        <v>29</v>
      </c>
      <c r="E4" s="41" t="s">
        <v>31</v>
      </c>
      <c r="F4" s="41" t="s">
        <v>31</v>
      </c>
      <c r="G4" s="41" t="s">
        <v>30</v>
      </c>
      <c r="H4" s="56" t="s">
        <v>248</v>
      </c>
      <c r="I4" s="56" t="s">
        <v>248</v>
      </c>
      <c r="J4" s="41" t="s">
        <v>29</v>
      </c>
      <c r="K4" s="41" t="s">
        <v>28</v>
      </c>
      <c r="L4" s="41" t="s">
        <v>30</v>
      </c>
      <c r="M4" s="41" t="s">
        <v>30</v>
      </c>
      <c r="N4" s="41" t="s">
        <v>30</v>
      </c>
      <c r="O4" s="41" t="s">
        <v>28</v>
      </c>
    </row>
    <row r="5" spans="1:15" ht="36.6" customHeight="true">
      <c r="A5" s="42">
        <v>1</v>
      </c>
      <c r="B5" s="42" t="s">
        <v>58</v>
      </c>
      <c r="C5" s="42" t="s">
        <v>59</v>
      </c>
      <c r="D5" s="42" t="s">
        <v>249</v>
      </c>
      <c r="E5" s="43">
        <v>14</v>
      </c>
      <c r="F5" s="42">
        <v>2</v>
      </c>
      <c r="G5" s="42">
        <v>0.8</v>
      </c>
      <c r="H5" s="57">
        <v>2</v>
      </c>
      <c r="I5" s="57">
        <v>20</v>
      </c>
      <c r="J5" s="42" t="s">
        <v>61</v>
      </c>
      <c r="K5" s="42" t="s">
        <v>68</v>
      </c>
      <c r="L5" s="42" t="s">
        <v>227</v>
      </c>
      <c r="M5" s="42">
        <v>1.3</v>
      </c>
      <c r="N5" s="42" t="s">
        <v>227</v>
      </c>
      <c r="O5" s="44" t="s">
        <v>250</v>
      </c>
    </row>
    <row r="6" spans="1:15" ht="47.4" customHeight="true">
      <c r="A6" s="45">
        <v>2</v>
      </c>
      <c r="B6" s="45" t="s">
        <v>71</v>
      </c>
      <c r="C6" s="45" t="s">
        <v>72</v>
      </c>
      <c r="D6" s="45" t="s">
        <v>251</v>
      </c>
      <c r="E6" s="46">
        <v>10</v>
      </c>
      <c r="F6" s="45">
        <v>1</v>
      </c>
      <c r="G6" s="45">
        <v>0.7</v>
      </c>
      <c r="H6" s="58">
        <v>2</v>
      </c>
      <c r="I6" s="58">
        <v>15</v>
      </c>
      <c r="J6" s="45" t="s">
        <v>252</v>
      </c>
      <c r="K6" s="45" t="s">
        <v>253</v>
      </c>
      <c r="L6" s="45">
        <v>0.55</v>
      </c>
      <c r="M6" s="45">
        <v>2</v>
      </c>
      <c r="N6" s="45" t="s">
        <v>27</v>
      </c>
      <c r="O6" s="47" t="s">
        <v>254</v>
      </c>
    </row>
    <row r="7" spans="1:15" ht="27.6" customHeight="true">
      <c r="A7" s="42">
        <v>3</v>
      </c>
      <c r="B7" s="42" t="s">
        <v>94</v>
      </c>
      <c r="C7" s="42" t="s">
        <v>95</v>
      </c>
      <c r="D7" s="42" t="s">
        <v>219</v>
      </c>
      <c r="E7" s="43">
        <v>28</v>
      </c>
      <c r="F7" s="42">
        <v>3</v>
      </c>
      <c r="G7" s="42">
        <v>1.2</v>
      </c>
      <c r="H7" s="57">
        <v>2</v>
      </c>
      <c r="I7" s="57">
        <v>20</v>
      </c>
      <c r="J7" s="42" t="s">
        <v>255</v>
      </c>
      <c r="K7" s="42" t="s">
        <v>256</v>
      </c>
      <c r="L7" s="42">
        <v>0.8</v>
      </c>
      <c r="M7" s="42">
        <v>4</v>
      </c>
      <c r="N7" s="42">
        <v>0.9</v>
      </c>
      <c r="O7" s="44" t="s">
        <v>257</v>
      </c>
    </row>
    <row r="8" spans="1:15" ht="40.8" customHeight="true">
      <c r="A8" s="59">
        <v>4</v>
      </c>
      <c r="B8" s="59" t="s">
        <v>105</v>
      </c>
      <c r="C8" s="59" t="s">
        <v>106</v>
      </c>
      <c r="D8" s="59" t="s">
        <v>258</v>
      </c>
      <c r="E8" s="60" t="s">
        <v>259</v>
      </c>
      <c r="F8" s="59">
        <v>6</v>
      </c>
      <c r="G8" s="59">
        <v>1.2</v>
      </c>
      <c r="H8" s="61" t="s">
        <v>260</v>
      </c>
      <c r="I8" s="61">
        <v>40</v>
      </c>
      <c r="J8" s="59" t="s">
        <v>261</v>
      </c>
      <c r="K8" s="59" t="s">
        <v>262</v>
      </c>
      <c r="L8" s="59" t="s">
        <v>262</v>
      </c>
      <c r="M8" s="59" t="s">
        <v>262</v>
      </c>
      <c r="N8" s="59" t="s">
        <v>262</v>
      </c>
      <c r="O8" s="62" t="s"/>
    </row>
    <row r="10" spans="1:1">
      <c r="A10" t="s">
        <v>263</v>
      </c>
    </row>
    <row r="199" spans="28:28">
      <c r="AB199" s="63" t="s"/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K67"/>
  <sheetViews>
    <sheetView showGridLines="false" tabSelected="false" topLeftCell="A65" workbookViewId="0"/>
  </sheetViews>
  <sheetFormatPr baseColWidth="8" defaultRowHeight="13.8"/>
  <sheetData>
    <row r="1" spans="1:13" ht="31.95" customHeight="true">
      <c r="A1" s="41" t="s">
        <v>187</v>
      </c>
      <c r="B1" s="41" t="s">
        <v>188</v>
      </c>
      <c r="C1" s="41" t="s">
        <v>189</v>
      </c>
      <c r="D1" s="41" t="s">
        <v>190</v>
      </c>
      <c r="E1" s="41" t="s">
        <v>191</v>
      </c>
      <c r="F1" s="41" t="s">
        <v>192</v>
      </c>
      <c r="G1" s="41" t="s">
        <v>193</v>
      </c>
      <c r="H1" s="41" t="s">
        <v>194</v>
      </c>
      <c r="I1" s="41" t="s">
        <v>195</v>
      </c>
      <c r="J1" s="41" t="s">
        <v>196</v>
      </c>
      <c r="K1" s="41" t="s">
        <v>197</v>
      </c>
      <c r="L1" s="41" t="s">
        <v>198</v>
      </c>
      <c r="M1" s="41" t="s">
        <v>199</v>
      </c>
    </row>
    <row r="2" spans="1:13" ht="27.6" customHeight="true">
      <c r="A2" s="42">
        <v>1</v>
      </c>
      <c r="B2" s="42" t="s">
        <v>200</v>
      </c>
      <c r="C2" s="42" t="s">
        <v>201</v>
      </c>
      <c r="D2" s="42">
        <v>0</v>
      </c>
      <c r="E2" s="43">
        <v>6</v>
      </c>
      <c r="F2" s="43">
        <v>4</v>
      </c>
      <c r="G2" s="42">
        <v>0</v>
      </c>
      <c r="H2" s="42">
        <f>=SUM(E2+F2+G2)</f>
        <v>10</v>
      </c>
      <c r="I2" s="43">
        <v>10</v>
      </c>
      <c r="J2" s="42">
        <v>20</v>
      </c>
      <c r="K2" s="42">
        <v>3</v>
      </c>
      <c r="L2" s="44" t="s"/>
      <c r="M2" s="42">
        <v>0</v>
      </c>
    </row>
    <row r="3" spans="1:13" ht="27.6" customHeight="true">
      <c r="A3" s="42">
        <v>1</v>
      </c>
      <c r="B3" s="42" t="s">
        <v>200</v>
      </c>
      <c r="C3" s="42" t="s">
        <v>202</v>
      </c>
      <c r="D3" s="42">
        <v>10</v>
      </c>
      <c r="E3" s="43">
        <v>4</v>
      </c>
      <c r="F3" s="43">
        <v>4</v>
      </c>
      <c r="G3" s="42">
        <v>0</v>
      </c>
      <c r="H3" s="42">
        <f>=SUM(E3+F3+G3)</f>
        <v>8</v>
      </c>
      <c r="I3" s="43">
        <v>18</v>
      </c>
      <c r="J3" s="42" t="s"/>
      <c r="K3" s="42" t="s"/>
      <c r="L3" s="44" t="s">
        <v>203</v>
      </c>
      <c r="M3" s="42">
        <v>0</v>
      </c>
    </row>
    <row r="4" spans="1:13" ht="27.6" customHeight="true">
      <c r="A4" s="42">
        <v>1</v>
      </c>
      <c r="B4" s="42" t="s">
        <v>200</v>
      </c>
      <c r="C4" s="42" t="s">
        <v>204</v>
      </c>
      <c r="D4" s="42">
        <v>20</v>
      </c>
      <c r="E4" s="43">
        <v>6</v>
      </c>
      <c r="F4" s="43">
        <v>4</v>
      </c>
      <c r="G4" s="42">
        <v>0</v>
      </c>
      <c r="H4" s="42">
        <f>=SUM(E4+F4+G4)</f>
        <v>10</v>
      </c>
      <c r="I4" s="43">
        <v>28</v>
      </c>
      <c r="J4" s="42" t="s"/>
      <c r="K4" s="42" t="s"/>
      <c r="L4" s="44" t="s">
        <v>203</v>
      </c>
      <c r="M4" s="42">
        <v>0</v>
      </c>
    </row>
    <row r="5" spans="1:13" ht="27.6" customHeight="true">
      <c r="A5" s="45">
        <v>2</v>
      </c>
      <c r="B5" s="45" t="s">
        <v>200</v>
      </c>
      <c r="C5" s="45" t="s">
        <v>201</v>
      </c>
      <c r="D5" s="45">
        <v>0</v>
      </c>
      <c r="E5" s="46">
        <v>6</v>
      </c>
      <c r="F5" s="46">
        <v>5</v>
      </c>
      <c r="G5" s="45">
        <v>0</v>
      </c>
      <c r="H5" s="42">
        <f>=SUM(E5+F5+G5)</f>
        <v>11</v>
      </c>
      <c r="I5" s="46">
        <v>11</v>
      </c>
      <c r="J5" s="45">
        <v>22</v>
      </c>
      <c r="K5" s="45">
        <v>3</v>
      </c>
      <c r="L5" s="47" t="s"/>
      <c r="M5" s="42">
        <v>0</v>
      </c>
    </row>
    <row r="6" spans="1:13" ht="27.6" customHeight="true">
      <c r="A6" s="45">
        <v>2</v>
      </c>
      <c r="B6" s="45" t="s">
        <v>200</v>
      </c>
      <c r="C6" s="45" t="s">
        <v>202</v>
      </c>
      <c r="D6" s="45">
        <v>10</v>
      </c>
      <c r="E6" s="46">
        <v>4</v>
      </c>
      <c r="F6" s="46">
        <v>4</v>
      </c>
      <c r="G6" s="45">
        <v>0</v>
      </c>
      <c r="H6" s="42">
        <f>=SUM(E6+F6+G6)</f>
        <v>8</v>
      </c>
      <c r="I6" s="46">
        <v>19</v>
      </c>
      <c r="J6" s="45" t="s"/>
      <c r="K6" s="45" t="s"/>
      <c r="L6" s="47" t="s">
        <v>203</v>
      </c>
      <c r="M6" s="42">
        <v>0</v>
      </c>
    </row>
    <row r="7" spans="1:13" ht="27.6" customHeight="true">
      <c r="A7" s="45">
        <v>2</v>
      </c>
      <c r="B7" s="45" t="s">
        <v>200</v>
      </c>
      <c r="C7" s="45" t="s">
        <v>204</v>
      </c>
      <c r="D7" s="45">
        <v>20</v>
      </c>
      <c r="E7" s="46">
        <v>8</v>
      </c>
      <c r="F7" s="46">
        <v>5</v>
      </c>
      <c r="G7" s="45">
        <v>0</v>
      </c>
      <c r="H7" s="42">
        <f>=SUM(E7+F7+G7)</f>
        <v>13</v>
      </c>
      <c r="I7" s="46">
        <v>32</v>
      </c>
      <c r="J7" s="45" t="s"/>
      <c r="K7" s="45" t="s"/>
      <c r="L7" s="47" t="s">
        <v>203</v>
      </c>
      <c r="M7" s="42">
        <v>0</v>
      </c>
    </row>
    <row r="8" spans="1:13" ht="27.6" customHeight="true">
      <c r="A8" s="42">
        <v>3</v>
      </c>
      <c r="B8" s="42" t="s">
        <v>205</v>
      </c>
      <c r="C8" s="42" t="s">
        <v>201</v>
      </c>
      <c r="D8" s="42">
        <v>0</v>
      </c>
      <c r="E8" s="43">
        <v>8</v>
      </c>
      <c r="F8" s="43">
        <v>5</v>
      </c>
      <c r="G8" s="43">
        <v>3</v>
      </c>
      <c r="H8" s="42">
        <f>=SUM(E8+F8+G8)</f>
        <v>16</v>
      </c>
      <c r="I8" s="43">
        <v>16</v>
      </c>
      <c r="J8" s="42">
        <v>26</v>
      </c>
      <c r="K8" s="42">
        <v>3</v>
      </c>
      <c r="L8" s="44" t="s"/>
      <c r="M8" s="42">
        <v>0</v>
      </c>
    </row>
    <row r="9" spans="1:13" ht="27.6" customHeight="true">
      <c r="A9" s="42">
        <v>3</v>
      </c>
      <c r="B9" s="42" t="s">
        <v>205</v>
      </c>
      <c r="C9" s="42" t="s">
        <v>202</v>
      </c>
      <c r="D9" s="42">
        <v>10</v>
      </c>
      <c r="E9" s="43">
        <v>8</v>
      </c>
      <c r="F9" s="43">
        <v>4</v>
      </c>
      <c r="G9" s="43">
        <v>4</v>
      </c>
      <c r="H9" s="42">
        <f>=SUM(E9+F9+G9)</f>
        <v>16</v>
      </c>
      <c r="I9" s="43">
        <v>32</v>
      </c>
      <c r="J9" s="42" t="s"/>
      <c r="K9" s="42" t="s"/>
      <c r="L9" s="44" t="s"/>
      <c r="M9" s="42">
        <v>0</v>
      </c>
    </row>
    <row r="10" spans="1:13" ht="27.6" customHeight="true">
      <c r="A10" s="42">
        <v>3</v>
      </c>
      <c r="B10" s="42" t="s">
        <v>205</v>
      </c>
      <c r="C10" s="42" t="s">
        <v>204</v>
      </c>
      <c r="D10" s="42">
        <v>20</v>
      </c>
      <c r="E10" s="43">
        <v>8</v>
      </c>
      <c r="F10" s="43">
        <v>6</v>
      </c>
      <c r="G10" s="43">
        <v>3</v>
      </c>
      <c r="H10" s="42">
        <f>=SUM(E10+F10+G10)</f>
        <v>17</v>
      </c>
      <c r="I10" s="43">
        <v>49</v>
      </c>
      <c r="J10" s="42" t="s"/>
      <c r="K10" s="42" t="s"/>
      <c r="L10" s="44" t="s"/>
      <c r="M10" s="42">
        <v>0</v>
      </c>
    </row>
    <row r="11" spans="1:13" ht="27.6" customHeight="true">
      <c r="A11" s="45">
        <v>4</v>
      </c>
      <c r="B11" s="45" t="s">
        <v>205</v>
      </c>
      <c r="C11" s="45" t="s">
        <v>201</v>
      </c>
      <c r="D11" s="45">
        <v>0</v>
      </c>
      <c r="E11" s="46">
        <v>9</v>
      </c>
      <c r="F11" s="46">
        <v>5</v>
      </c>
      <c r="G11" s="46">
        <v>3</v>
      </c>
      <c r="H11" s="42">
        <f>=SUM(E11+F11+G11)</f>
        <v>17</v>
      </c>
      <c r="I11" s="46">
        <v>17</v>
      </c>
      <c r="J11" s="45">
        <v>30</v>
      </c>
      <c r="K11" s="45">
        <v>4</v>
      </c>
      <c r="L11" s="47" t="s"/>
      <c r="M11" s="42">
        <v>0</v>
      </c>
    </row>
    <row r="12" spans="1:13" ht="27.6" customHeight="true">
      <c r="A12" s="45">
        <v>4</v>
      </c>
      <c r="B12" s="45" t="s">
        <v>205</v>
      </c>
      <c r="C12" s="45" t="s">
        <v>202</v>
      </c>
      <c r="D12" s="45">
        <v>10</v>
      </c>
      <c r="E12" s="46">
        <v>5</v>
      </c>
      <c r="F12" s="46">
        <v>5</v>
      </c>
      <c r="G12" s="46">
        <v>4</v>
      </c>
      <c r="H12" s="42">
        <f>=SUM(E12+F12+G12)</f>
        <v>14</v>
      </c>
      <c r="I12" s="46">
        <v>31</v>
      </c>
      <c r="J12" s="45" t="s"/>
      <c r="K12" s="45" t="s"/>
      <c r="L12" s="47" t="s"/>
      <c r="M12" s="42">
        <v>0</v>
      </c>
    </row>
    <row r="13" spans="1:13" ht="27.6" customHeight="true">
      <c r="A13" s="45">
        <v>4</v>
      </c>
      <c r="B13" s="45" t="s">
        <v>205</v>
      </c>
      <c r="C13" s="45" t="s">
        <v>204</v>
      </c>
      <c r="D13" s="45">
        <v>20</v>
      </c>
      <c r="E13" s="46">
        <v>12</v>
      </c>
      <c r="F13" s="46">
        <v>8</v>
      </c>
      <c r="G13" s="46">
        <v>3</v>
      </c>
      <c r="H13" s="42">
        <f>=SUM(E13+F13+G13)</f>
        <v>23</v>
      </c>
      <c r="I13" s="46">
        <v>54</v>
      </c>
      <c r="J13" s="45" t="s"/>
      <c r="K13" s="45" t="s"/>
      <c r="L13" s="47" t="s"/>
      <c r="M13" s="42">
        <v>0</v>
      </c>
    </row>
    <row r="14" spans="1:13" ht="27.6" customHeight="true">
      <c r="A14" s="42">
        <v>5</v>
      </c>
      <c r="B14" s="42" t="s">
        <v>205</v>
      </c>
      <c r="C14" s="42" t="s">
        <v>201</v>
      </c>
      <c r="D14" s="42">
        <v>0</v>
      </c>
      <c r="E14" s="43">
        <v>11</v>
      </c>
      <c r="F14" s="43">
        <v>6</v>
      </c>
      <c r="G14" s="43">
        <v>3</v>
      </c>
      <c r="H14" s="42">
        <f>=SUM(E14+F14+G14)</f>
        <v>20</v>
      </c>
      <c r="I14" s="43">
        <v>20</v>
      </c>
      <c r="J14" s="42">
        <v>33</v>
      </c>
      <c r="K14" s="42">
        <v>4</v>
      </c>
      <c r="L14" s="44" t="s"/>
      <c r="M14" s="42">
        <v>0</v>
      </c>
    </row>
    <row r="15" spans="1:13" ht="27.6" customHeight="true">
      <c r="A15" s="42">
        <v>5</v>
      </c>
      <c r="B15" s="42" t="s">
        <v>205</v>
      </c>
      <c r="C15" s="42" t="s">
        <v>202</v>
      </c>
      <c r="D15" s="42">
        <v>10</v>
      </c>
      <c r="E15" s="43">
        <v>8</v>
      </c>
      <c r="F15" s="43">
        <v>5</v>
      </c>
      <c r="G15" s="43">
        <v>4</v>
      </c>
      <c r="H15" s="42">
        <f>=SUM(E15+F15+G15)</f>
        <v>17</v>
      </c>
      <c r="I15" s="43">
        <v>37</v>
      </c>
      <c r="J15" s="42" t="s"/>
      <c r="K15" s="42" t="s"/>
      <c r="L15" s="44" t="s"/>
      <c r="M15" s="42">
        <v>0</v>
      </c>
    </row>
    <row r="16" spans="1:13" ht="27.6" customHeight="true">
      <c r="A16" s="42">
        <v>5</v>
      </c>
      <c r="B16" s="42" t="s">
        <v>205</v>
      </c>
      <c r="C16" s="42" t="s">
        <v>204</v>
      </c>
      <c r="D16" s="42">
        <v>20</v>
      </c>
      <c r="E16" s="43">
        <v>14</v>
      </c>
      <c r="F16" s="43">
        <v>8</v>
      </c>
      <c r="G16" s="43">
        <v>3</v>
      </c>
      <c r="H16" s="42">
        <f>=SUM(E16+F16+G16)</f>
        <v>25</v>
      </c>
      <c r="I16" s="43">
        <v>62</v>
      </c>
      <c r="J16" s="42" t="s"/>
      <c r="K16" s="42" t="s"/>
      <c r="L16" s="44" t="s"/>
      <c r="M16" s="42">
        <v>0</v>
      </c>
    </row>
    <row r="17" spans="1:13" ht="27.6" customHeight="true">
      <c r="A17" s="45">
        <v>6</v>
      </c>
      <c r="B17" s="45" t="s">
        <v>206</v>
      </c>
      <c r="C17" s="45" t="s">
        <v>201</v>
      </c>
      <c r="D17" s="45">
        <v>0</v>
      </c>
      <c r="E17" s="46">
        <v>12</v>
      </c>
      <c r="F17" s="46">
        <v>5</v>
      </c>
      <c r="G17" s="46">
        <v>4</v>
      </c>
      <c r="H17" s="42">
        <f>=SUM(E17+F17+G17)</f>
        <v>21</v>
      </c>
      <c r="I17" s="46">
        <v>21</v>
      </c>
      <c r="J17" s="45">
        <v>36</v>
      </c>
      <c r="K17" s="45">
        <v>4</v>
      </c>
      <c r="L17" s="47" t="s"/>
      <c r="M17" s="42">
        <v>0</v>
      </c>
    </row>
    <row r="18" spans="1:13" ht="27.6" customHeight="true">
      <c r="A18" s="45">
        <v>6</v>
      </c>
      <c r="B18" s="45" t="s">
        <v>206</v>
      </c>
      <c r="C18" s="45" t="s">
        <v>202</v>
      </c>
      <c r="D18" s="45">
        <v>10</v>
      </c>
      <c r="E18" s="46">
        <v>10</v>
      </c>
      <c r="F18" s="46">
        <v>6</v>
      </c>
      <c r="G18" s="46">
        <v>5</v>
      </c>
      <c r="H18" s="42">
        <f>=SUM(E18+F18+G18)</f>
        <v>21</v>
      </c>
      <c r="I18" s="46">
        <v>42</v>
      </c>
      <c r="J18" s="45" t="s"/>
      <c r="K18" s="45" t="s"/>
      <c r="L18" s="47" t="s"/>
      <c r="M18" s="42">
        <v>0</v>
      </c>
    </row>
    <row r="19" spans="1:13" ht="27.6" customHeight="true">
      <c r="A19" s="45">
        <v>6</v>
      </c>
      <c r="B19" s="45" t="s">
        <v>206</v>
      </c>
      <c r="C19" s="45" t="s">
        <v>204</v>
      </c>
      <c r="D19" s="45">
        <v>20</v>
      </c>
      <c r="E19" s="46">
        <v>15</v>
      </c>
      <c r="F19" s="46">
        <v>6</v>
      </c>
      <c r="G19" s="46">
        <v>5</v>
      </c>
      <c r="H19" s="42">
        <f>=SUM(E19+F19+G19)</f>
        <v>26</v>
      </c>
      <c r="I19" s="46">
        <v>68</v>
      </c>
      <c r="J19" s="45" t="s"/>
      <c r="K19" s="45" t="s"/>
      <c r="L19" s="47" t="s"/>
      <c r="M19" s="42">
        <v>0</v>
      </c>
    </row>
    <row r="20" spans="1:13" ht="27.6" customHeight="true">
      <c r="A20" s="42">
        <v>7</v>
      </c>
      <c r="B20" s="42" t="s">
        <v>206</v>
      </c>
      <c r="C20" s="42" t="s">
        <v>201</v>
      </c>
      <c r="D20" s="42">
        <v>0</v>
      </c>
      <c r="E20" s="43">
        <v>14</v>
      </c>
      <c r="F20" s="43">
        <v>8</v>
      </c>
      <c r="G20" s="43">
        <v>5</v>
      </c>
      <c r="H20" s="42">
        <f>=SUM(E20+F20+G20)</f>
        <v>27</v>
      </c>
      <c r="I20" s="43">
        <v>27</v>
      </c>
      <c r="J20" s="42">
        <v>38</v>
      </c>
      <c r="K20" s="42">
        <v>4</v>
      </c>
      <c r="L20" s="44" t="s"/>
      <c r="M20" s="42">
        <v>0</v>
      </c>
    </row>
    <row r="21" spans="1:13" ht="27.6" customHeight="true">
      <c r="A21" s="42">
        <v>7</v>
      </c>
      <c r="B21" s="42" t="s">
        <v>206</v>
      </c>
      <c r="C21" s="42" t="s">
        <v>202</v>
      </c>
      <c r="D21" s="42">
        <v>10</v>
      </c>
      <c r="E21" s="43">
        <v>10</v>
      </c>
      <c r="F21" s="43">
        <v>6</v>
      </c>
      <c r="G21" s="43">
        <v>6</v>
      </c>
      <c r="H21" s="42">
        <f>=SUM(E21+F21+G21)</f>
        <v>22</v>
      </c>
      <c r="I21" s="43">
        <v>49</v>
      </c>
      <c r="J21" s="42" t="s"/>
      <c r="K21" s="42" t="s"/>
      <c r="L21" s="44" t="s"/>
      <c r="M21" s="42">
        <v>0</v>
      </c>
    </row>
    <row r="22" spans="1:13" ht="27.6" customHeight="true">
      <c r="A22" s="42">
        <v>7</v>
      </c>
      <c r="B22" s="42" t="s">
        <v>206</v>
      </c>
      <c r="C22" s="42" t="s">
        <v>204</v>
      </c>
      <c r="D22" s="42">
        <v>20</v>
      </c>
      <c r="E22" s="43">
        <v>14</v>
      </c>
      <c r="F22" s="43">
        <v>9</v>
      </c>
      <c r="G22" s="43">
        <v>6</v>
      </c>
      <c r="H22" s="42">
        <f>=SUM(E22+F22+G22)</f>
        <v>29</v>
      </c>
      <c r="I22" s="43">
        <v>78</v>
      </c>
      <c r="J22" s="42" t="s"/>
      <c r="K22" s="42" t="s"/>
      <c r="L22" s="44" t="s"/>
      <c r="M22" s="42">
        <v>0</v>
      </c>
    </row>
    <row r="23" spans="1:13" ht="41.4" customHeight="true">
      <c r="A23" s="45">
        <v>8</v>
      </c>
      <c r="B23" s="45" t="s">
        <v>207</v>
      </c>
      <c r="C23" s="45" t="s">
        <v>201</v>
      </c>
      <c r="D23" s="45">
        <v>0</v>
      </c>
      <c r="E23" s="46">
        <v>11</v>
      </c>
      <c r="F23" s="46">
        <v>5</v>
      </c>
      <c r="G23" s="46">
        <v>4</v>
      </c>
      <c r="H23" s="42">
        <f>=SUM(E23+F23+G23)</f>
        <v>20</v>
      </c>
      <c r="I23" s="46">
        <v>20</v>
      </c>
      <c r="J23" s="45" t="s">
        <v>208</v>
      </c>
      <c r="K23" s="45">
        <v>4</v>
      </c>
      <c r="L23" s="47" t="s">
        <v>209</v>
      </c>
      <c r="M23" s="45">
        <v>1</v>
      </c>
    </row>
    <row r="24" spans="1:13">
      <c r="A24" s="45">
        <v>8</v>
      </c>
      <c r="B24" s="45" t="s">
        <v>207</v>
      </c>
      <c r="C24" s="45" t="s">
        <v>202</v>
      </c>
      <c r="D24" s="45">
        <v>10</v>
      </c>
      <c r="E24" s="46">
        <v>6</v>
      </c>
      <c r="F24" s="46">
        <v>6</v>
      </c>
      <c r="G24" s="46">
        <v>5</v>
      </c>
      <c r="H24" s="42">
        <f>=SUM(E24+F24+G24)</f>
        <v>17</v>
      </c>
      <c r="I24" s="46">
        <v>37</v>
      </c>
      <c r="J24" s="45" t="s"/>
      <c r="K24" s="45" t="s"/>
      <c r="L24" s="47" t="s"/>
      <c r="M24" s="45">
        <v>0</v>
      </c>
    </row>
    <row r="25" spans="1:13">
      <c r="A25" s="45">
        <v>8</v>
      </c>
      <c r="B25" s="45" t="s">
        <v>207</v>
      </c>
      <c r="C25" s="45" t="s">
        <v>204</v>
      </c>
      <c r="D25" s="45">
        <v>20</v>
      </c>
      <c r="E25" s="46">
        <v>12</v>
      </c>
      <c r="F25" s="46">
        <v>8</v>
      </c>
      <c r="G25" s="46">
        <v>5</v>
      </c>
      <c r="H25" s="42">
        <f>=SUM(E25+F25+G25)</f>
        <v>25</v>
      </c>
      <c r="I25" s="46">
        <v>62</v>
      </c>
      <c r="J25" s="45" t="s"/>
      <c r="K25" s="45" t="s"/>
      <c r="L25" s="47" t="s"/>
      <c r="M25" s="45">
        <v>0</v>
      </c>
    </row>
    <row r="26" spans="5:5">
      <c r="E26" s="48" t="s"/>
    </row>
    <row r="27" spans="1:11" ht="15" customHeight="true">
      <c r="A27" s="49" t="s">
        <v>210</v>
      </c>
      <c r="B27" s="5" t="s"/>
      <c r="C27" s="5" t="s"/>
      <c r="D27" s="5" t="s"/>
      <c r="E27" s="50" t="s"/>
      <c r="F27" s="5" t="s"/>
      <c r="G27" s="5" t="s"/>
      <c r="H27" s="5" t="s"/>
      <c r="I27" s="5" t="s"/>
      <c r="J27" s="5" t="s"/>
      <c r="K27" s="5" t="s"/>
    </row>
    <row r="28" spans="1:5" ht="28.8" customHeight="true">
      <c r="A28" s="41" t="s">
        <v>211</v>
      </c>
      <c r="B28" s="41" t="s">
        <v>212</v>
      </c>
      <c r="C28" s="41" t="s">
        <v>213</v>
      </c>
      <c r="D28" s="41" t="s">
        <v>214</v>
      </c>
      <c r="E28" s="48" t="s"/>
    </row>
    <row r="29" spans="1:5">
      <c r="A29" s="44" t="s">
        <v>215</v>
      </c>
      <c r="B29" s="42" t="s">
        <v>216</v>
      </c>
      <c r="C29" s="42">
        <v>1.1</v>
      </c>
      <c r="D29" s="42">
        <v>0.8</v>
      </c>
      <c r="E29" s="48" t="s"/>
    </row>
    <row r="30" spans="1:5" ht="27.6" customHeight="true">
      <c r="A30" s="44" t="s">
        <v>217</v>
      </c>
      <c r="B30" s="42" t="s">
        <v>218</v>
      </c>
      <c r="C30" s="42">
        <v>1.25</v>
      </c>
      <c r="D30" s="42">
        <v>0.8</v>
      </c>
      <c r="E30" s="48" t="s"/>
    </row>
    <row r="31" spans="1:5">
      <c r="A31" s="44" t="s">
        <v>219</v>
      </c>
      <c r="B31" s="42" t="s">
        <v>220</v>
      </c>
      <c r="C31" s="42">
        <v>2</v>
      </c>
      <c r="D31" s="42">
        <v>1</v>
      </c>
      <c r="E31" s="48" t="s"/>
    </row>
    <row r="32" spans="5:5">
      <c r="E32" s="48" t="s"/>
    </row>
    <row r="33" spans="1:11" ht="25.95" customHeight="true">
      <c r="A33" s="51" t="s">
        <v>221</v>
      </c>
      <c r="B33" s="5" t="s"/>
      <c r="C33" s="5" t="s"/>
      <c r="D33" s="5" t="s"/>
      <c r="E33" s="50" t="s"/>
      <c r="F33" s="5" t="s"/>
      <c r="G33" s="5" t="s"/>
      <c r="H33" s="5" t="s"/>
      <c r="I33" s="5" t="s"/>
      <c r="J33" s="5" t="s"/>
      <c r="K33" s="5" t="s"/>
    </row>
    <row r="34" spans="5:5">
      <c r="E34" s="48" t="s"/>
    </row>
    <row r="35" spans="1:11" ht="31.95" customHeight="true">
      <c r="A35" s="41" t="s">
        <v>187</v>
      </c>
      <c r="B35" s="41" t="s">
        <v>3</v>
      </c>
      <c r="C35" s="41" t="s">
        <v>222</v>
      </c>
      <c r="D35" s="41" t="s">
        <v>188</v>
      </c>
      <c r="E35" s="52" t="s">
        <v>223</v>
      </c>
      <c r="F35" s="41" t="s">
        <v>224</v>
      </c>
      <c r="G35" s="41" t="s"/>
      <c r="H35" s="41" t="s">
        <v>225</v>
      </c>
      <c r="I35" s="41" t="s">
        <v>226</v>
      </c>
      <c r="J35" s="41" t="s">
        <v>10</v>
      </c>
      <c r="K35" s="41" t="s">
        <v>198</v>
      </c>
    </row>
    <row r="36" spans="1:11" ht="27.6" customHeight="true">
      <c r="A36" s="42">
        <v>1</v>
      </c>
      <c r="B36" s="42" t="s">
        <v>58</v>
      </c>
      <c r="C36" s="42" t="s">
        <v>59</v>
      </c>
      <c r="D36" s="42" t="s">
        <v>200</v>
      </c>
      <c r="E36" s="43">
        <v>14</v>
      </c>
      <c r="F36" s="42">
        <v>2</v>
      </c>
      <c r="G36" s="42" t="s"/>
      <c r="H36" s="42">
        <v>2</v>
      </c>
      <c r="I36" s="42">
        <v>1.3</v>
      </c>
      <c r="J36" s="42" t="s">
        <v>227</v>
      </c>
      <c r="K36" s="44" t="s"/>
    </row>
    <row r="37" spans="1:11" ht="27.6" customHeight="true">
      <c r="A37" s="42">
        <v>1</v>
      </c>
      <c r="B37" s="42" t="s">
        <v>71</v>
      </c>
      <c r="C37" s="42" t="s">
        <v>72</v>
      </c>
      <c r="D37" s="42" t="s">
        <v>200</v>
      </c>
      <c r="E37" s="43">
        <v>10</v>
      </c>
      <c r="F37" s="42">
        <v>1</v>
      </c>
      <c r="G37" s="42" t="s"/>
      <c r="H37" s="42">
        <v>3</v>
      </c>
      <c r="I37" s="42">
        <v>2</v>
      </c>
      <c r="J37" s="42">
        <v>0.55</v>
      </c>
      <c r="K37" s="44" t="s"/>
    </row>
    <row r="38" spans="1:11" ht="27.6" customHeight="true">
      <c r="A38" s="42">
        <v>1</v>
      </c>
      <c r="B38" s="42" t="s">
        <v>94</v>
      </c>
      <c r="C38" s="42" t="s">
        <v>95</v>
      </c>
      <c r="D38" s="42" t="s">
        <v>200</v>
      </c>
      <c r="E38" s="43">
        <v>28</v>
      </c>
      <c r="F38" s="42">
        <v>3</v>
      </c>
      <c r="G38" s="42" t="s"/>
      <c r="H38" s="42">
        <v>4</v>
      </c>
      <c r="I38" s="42">
        <v>4</v>
      </c>
      <c r="J38" s="42">
        <v>0.8</v>
      </c>
      <c r="K38" s="44" t="s">
        <v>228</v>
      </c>
    </row>
    <row r="39" spans="1:11" ht="15" customHeight="true">
      <c r="A39" s="53" t="s">
        <v>229</v>
      </c>
      <c r="B39" s="5" t="s"/>
      <c r="C39" s="5" t="s"/>
      <c r="D39" s="5" t="s"/>
      <c r="E39" s="50" t="s"/>
      <c r="F39" s="5" t="s"/>
      <c r="G39" s="5" t="s"/>
      <c r="H39" s="5" t="s"/>
      <c r="I39" s="5" t="s"/>
      <c r="J39" s="5" t="s"/>
      <c r="K39" s="5" t="s"/>
    </row>
    <row r="40" spans="1:11" ht="27.6" customHeight="true">
      <c r="A40" s="45">
        <v>2</v>
      </c>
      <c r="B40" s="45" t="s">
        <v>58</v>
      </c>
      <c r="C40" s="45" t="s">
        <v>59</v>
      </c>
      <c r="D40" s="45" t="s">
        <v>200</v>
      </c>
      <c r="E40" s="46">
        <v>16</v>
      </c>
      <c r="F40" s="45">
        <v>2</v>
      </c>
      <c r="G40" s="45" t="s"/>
      <c r="H40" s="45">
        <v>2</v>
      </c>
      <c r="I40" s="45">
        <v>1.3</v>
      </c>
      <c r="J40" s="45" t="s">
        <v>227</v>
      </c>
      <c r="K40" s="47" t="s"/>
    </row>
    <row r="41" spans="1:11" ht="27.6" customHeight="true">
      <c r="A41" s="45">
        <v>2</v>
      </c>
      <c r="B41" s="45" t="s">
        <v>71</v>
      </c>
      <c r="C41" s="45" t="s">
        <v>72</v>
      </c>
      <c r="D41" s="45" t="s">
        <v>200</v>
      </c>
      <c r="E41" s="46">
        <v>12</v>
      </c>
      <c r="F41" s="45">
        <v>1</v>
      </c>
      <c r="G41" s="45" t="s"/>
      <c r="H41" s="45">
        <v>3</v>
      </c>
      <c r="I41" s="45">
        <v>2</v>
      </c>
      <c r="J41" s="45">
        <v>0.55</v>
      </c>
      <c r="K41" s="47" t="s"/>
    </row>
    <row r="42" spans="1:11" ht="27.6" customHeight="true">
      <c r="A42" s="45">
        <v>2</v>
      </c>
      <c r="B42" s="45" t="s">
        <v>94</v>
      </c>
      <c r="C42" s="45" t="s">
        <v>95</v>
      </c>
      <c r="D42" s="45" t="s">
        <v>200</v>
      </c>
      <c r="E42" s="46">
        <v>32</v>
      </c>
      <c r="F42" s="45">
        <v>3</v>
      </c>
      <c r="G42" s="45" t="s"/>
      <c r="H42" s="45">
        <v>4</v>
      </c>
      <c r="I42" s="45">
        <v>4</v>
      </c>
      <c r="J42" s="45">
        <v>0.8</v>
      </c>
      <c r="K42" s="47" t="s">
        <v>228</v>
      </c>
    </row>
    <row r="43" spans="1:11" ht="15" customHeight="true">
      <c r="A43" s="53" t="s">
        <v>230</v>
      </c>
      <c r="B43" s="5" t="s"/>
      <c r="C43" s="5" t="s"/>
      <c r="D43" s="5" t="s"/>
      <c r="E43" s="50" t="s"/>
      <c r="F43" s="5" t="s"/>
      <c r="G43" s="5" t="s"/>
      <c r="H43" s="5" t="s"/>
      <c r="I43" s="5" t="s"/>
      <c r="J43" s="5" t="s"/>
      <c r="K43" s="5" t="s"/>
    </row>
    <row r="44" spans="1:11" ht="27.6" customHeight="true">
      <c r="A44" s="42">
        <v>3</v>
      </c>
      <c r="B44" s="42" t="s">
        <v>58</v>
      </c>
      <c r="C44" s="42" t="s">
        <v>59</v>
      </c>
      <c r="D44" s="42" t="s">
        <v>205</v>
      </c>
      <c r="E44" s="43">
        <v>21</v>
      </c>
      <c r="F44" s="42">
        <v>2</v>
      </c>
      <c r="G44" s="42" t="s"/>
      <c r="H44" s="42">
        <v>3</v>
      </c>
      <c r="I44" s="42">
        <v>1.3</v>
      </c>
      <c r="J44" s="42" t="s">
        <v>227</v>
      </c>
      <c r="K44" s="44" t="s"/>
    </row>
    <row r="45" spans="1:11" ht="27.6" customHeight="true">
      <c r="A45" s="42">
        <v>3</v>
      </c>
      <c r="B45" s="42" t="s">
        <v>71</v>
      </c>
      <c r="C45" s="42" t="s">
        <v>72</v>
      </c>
      <c r="D45" s="42" t="s">
        <v>205</v>
      </c>
      <c r="E45" s="43">
        <v>15</v>
      </c>
      <c r="F45" s="42">
        <v>1</v>
      </c>
      <c r="G45" s="42" t="s"/>
      <c r="H45" s="42">
        <v>4</v>
      </c>
      <c r="I45" s="42">
        <v>2</v>
      </c>
      <c r="J45" s="42">
        <v>0.55</v>
      </c>
      <c r="K45" s="44" t="s"/>
    </row>
    <row r="46" spans="1:11" ht="27.6" customHeight="true">
      <c r="A46" s="42">
        <v>3</v>
      </c>
      <c r="B46" s="42" t="s">
        <v>94</v>
      </c>
      <c r="C46" s="42" t="s">
        <v>95</v>
      </c>
      <c r="D46" s="42" t="s">
        <v>205</v>
      </c>
      <c r="E46" s="43">
        <v>40</v>
      </c>
      <c r="F46" s="42">
        <v>4</v>
      </c>
      <c r="G46" s="42" t="s"/>
      <c r="H46" s="42">
        <v>5</v>
      </c>
      <c r="I46" s="42">
        <v>4</v>
      </c>
      <c r="J46" s="42">
        <v>0.8</v>
      </c>
      <c r="K46" s="44" t="s"/>
    </row>
    <row r="47" spans="1:11" ht="15" customHeight="true">
      <c r="A47" s="53" t="s">
        <v>231</v>
      </c>
      <c r="B47" s="5" t="s"/>
      <c r="C47" s="5" t="s"/>
      <c r="D47" s="5" t="s"/>
      <c r="E47" s="50" t="s"/>
      <c r="F47" s="5" t="s"/>
      <c r="G47" s="5" t="s"/>
      <c r="H47" s="5" t="s"/>
      <c r="I47" s="5" t="s"/>
      <c r="J47" s="5" t="s"/>
      <c r="K47" s="5" t="s"/>
    </row>
    <row r="48" spans="1:11" ht="27.6" customHeight="true">
      <c r="A48" s="45">
        <v>4</v>
      </c>
      <c r="B48" s="45" t="s">
        <v>58</v>
      </c>
      <c r="C48" s="45" t="s">
        <v>59</v>
      </c>
      <c r="D48" s="45" t="s">
        <v>205</v>
      </c>
      <c r="E48" s="46">
        <v>25</v>
      </c>
      <c r="F48" s="45">
        <v>3</v>
      </c>
      <c r="G48" s="45" t="s"/>
      <c r="H48" s="45">
        <v>3</v>
      </c>
      <c r="I48" s="45">
        <v>1.3</v>
      </c>
      <c r="J48" s="45" t="s">
        <v>227</v>
      </c>
      <c r="K48" s="47" t="s"/>
    </row>
    <row r="49" spans="1:11" ht="27.6" customHeight="true">
      <c r="A49" s="45">
        <v>4</v>
      </c>
      <c r="B49" s="45" t="s">
        <v>71</v>
      </c>
      <c r="C49" s="45" t="s">
        <v>72</v>
      </c>
      <c r="D49" s="45" t="s">
        <v>205</v>
      </c>
      <c r="E49" s="46">
        <v>18</v>
      </c>
      <c r="F49" s="45">
        <v>1</v>
      </c>
      <c r="G49" s="45" t="s"/>
      <c r="H49" s="45">
        <v>4</v>
      </c>
      <c r="I49" s="45">
        <v>2</v>
      </c>
      <c r="J49" s="45">
        <v>0.55</v>
      </c>
      <c r="K49" s="47" t="s"/>
    </row>
    <row r="50" spans="1:11" ht="27.6" customHeight="true">
      <c r="A50" s="45">
        <v>4</v>
      </c>
      <c r="B50" s="45" t="s">
        <v>94</v>
      </c>
      <c r="C50" s="45" t="s">
        <v>95</v>
      </c>
      <c r="D50" s="45" t="s">
        <v>205</v>
      </c>
      <c r="E50" s="46">
        <v>48</v>
      </c>
      <c r="F50" s="45">
        <v>4</v>
      </c>
      <c r="G50" s="45" t="s"/>
      <c r="H50" s="45">
        <v>6</v>
      </c>
      <c r="I50" s="45">
        <v>4</v>
      </c>
      <c r="J50" s="45">
        <v>0.8</v>
      </c>
      <c r="K50" s="47" t="s"/>
    </row>
    <row r="51" spans="1:11" ht="15" customHeight="true">
      <c r="A51" s="53" t="s">
        <v>232</v>
      </c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</row>
    <row r="52" spans="1:11" ht="27.6" customHeight="true">
      <c r="A52" s="42">
        <v>5</v>
      </c>
      <c r="B52" s="42" t="s">
        <v>58</v>
      </c>
      <c r="C52" s="42" t="s">
        <v>59</v>
      </c>
      <c r="D52" s="42" t="s">
        <v>205</v>
      </c>
      <c r="E52" s="43">
        <v>30</v>
      </c>
      <c r="F52" s="42">
        <v>3</v>
      </c>
      <c r="G52" s="42" t="s"/>
      <c r="H52" s="42">
        <v>3</v>
      </c>
      <c r="I52" s="42">
        <v>1.3</v>
      </c>
      <c r="J52" s="42" t="s">
        <v>227</v>
      </c>
      <c r="K52" s="44" t="s"/>
    </row>
    <row r="53" spans="1:11" ht="27.6" customHeight="true">
      <c r="A53" s="42">
        <v>5</v>
      </c>
      <c r="B53" s="42" t="s">
        <v>71</v>
      </c>
      <c r="C53" s="42" t="s">
        <v>72</v>
      </c>
      <c r="D53" s="42" t="s">
        <v>205</v>
      </c>
      <c r="E53" s="43">
        <v>22</v>
      </c>
      <c r="F53" s="42">
        <v>2</v>
      </c>
      <c r="G53" s="42" t="s"/>
      <c r="H53" s="42">
        <v>5</v>
      </c>
      <c r="I53" s="42">
        <v>2</v>
      </c>
      <c r="J53" s="42">
        <v>0.55</v>
      </c>
      <c r="K53" s="44" t="s"/>
    </row>
    <row r="54" spans="1:11" ht="27.6" customHeight="true">
      <c r="A54" s="42">
        <v>5</v>
      </c>
      <c r="B54" s="42" t="s">
        <v>94</v>
      </c>
      <c r="C54" s="42" t="s">
        <v>95</v>
      </c>
      <c r="D54" s="42" t="s">
        <v>205</v>
      </c>
      <c r="E54" s="43">
        <v>59</v>
      </c>
      <c r="F54" s="42">
        <v>5</v>
      </c>
      <c r="G54" s="42" t="s"/>
      <c r="H54" s="42">
        <v>6</v>
      </c>
      <c r="I54" s="42">
        <v>4</v>
      </c>
      <c r="J54" s="42">
        <v>0.8</v>
      </c>
      <c r="K54" s="44" t="s"/>
    </row>
    <row r="55" spans="1:11" ht="15" customHeight="true">
      <c r="A55" s="53" t="s">
        <v>233</v>
      </c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</row>
    <row r="56" spans="1:11" ht="27.6" customHeight="true">
      <c r="A56" s="45">
        <v>6</v>
      </c>
      <c r="B56" s="45" t="s">
        <v>58</v>
      </c>
      <c r="C56" s="45" t="s">
        <v>59</v>
      </c>
      <c r="D56" s="45" t="s">
        <v>206</v>
      </c>
      <c r="E56" s="46">
        <v>37</v>
      </c>
      <c r="F56" s="45">
        <v>4</v>
      </c>
      <c r="G56" s="45" t="s"/>
      <c r="H56" s="45">
        <v>4</v>
      </c>
      <c r="I56" s="45">
        <v>1.3</v>
      </c>
      <c r="J56" s="45" t="s">
        <v>227</v>
      </c>
      <c r="K56" s="47" t="s"/>
    </row>
    <row r="57" spans="1:11" ht="27.6" customHeight="true">
      <c r="A57" s="45">
        <v>6</v>
      </c>
      <c r="B57" s="45" t="s">
        <v>71</v>
      </c>
      <c r="C57" s="45" t="s">
        <v>72</v>
      </c>
      <c r="D57" s="45" t="s">
        <v>206</v>
      </c>
      <c r="E57" s="46">
        <v>27</v>
      </c>
      <c r="F57" s="45">
        <v>2</v>
      </c>
      <c r="G57" s="45" t="s"/>
      <c r="H57" s="45">
        <v>5</v>
      </c>
      <c r="I57" s="45">
        <v>2</v>
      </c>
      <c r="J57" s="45">
        <v>0.55</v>
      </c>
      <c r="K57" s="47" t="s"/>
    </row>
    <row r="58" spans="1:11" ht="27.6" customHeight="true">
      <c r="A58" s="45">
        <v>6</v>
      </c>
      <c r="B58" s="45" t="s">
        <v>94</v>
      </c>
      <c r="C58" s="45" t="s">
        <v>95</v>
      </c>
      <c r="D58" s="45" t="s">
        <v>206</v>
      </c>
      <c r="E58" s="46">
        <v>73</v>
      </c>
      <c r="F58" s="45">
        <v>5</v>
      </c>
      <c r="G58" s="45" t="s"/>
      <c r="H58" s="45">
        <v>7</v>
      </c>
      <c r="I58" s="45">
        <v>4</v>
      </c>
      <c r="J58" s="45">
        <v>0.8</v>
      </c>
      <c r="K58" s="47" t="s"/>
    </row>
    <row r="59" spans="1:11" ht="15" customHeight="true">
      <c r="A59" s="53" t="s">
        <v>234</v>
      </c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</row>
    <row r="60" spans="1:11" ht="27.6" customHeight="true">
      <c r="A60" s="42">
        <v>7</v>
      </c>
      <c r="B60" s="42" t="s">
        <v>58</v>
      </c>
      <c r="C60" s="42" t="s">
        <v>59</v>
      </c>
      <c r="D60" s="42" t="s">
        <v>206</v>
      </c>
      <c r="E60" s="43">
        <v>45</v>
      </c>
      <c r="F60" s="42">
        <v>4</v>
      </c>
      <c r="G60" s="42" t="s"/>
      <c r="H60" s="42">
        <v>4</v>
      </c>
      <c r="I60" s="42">
        <v>1.3</v>
      </c>
      <c r="J60" s="42" t="s">
        <v>227</v>
      </c>
      <c r="K60" s="44" t="s"/>
    </row>
    <row r="61" spans="1:11" ht="27.6" customHeight="true">
      <c r="A61" s="42">
        <v>7</v>
      </c>
      <c r="B61" s="42" t="s">
        <v>71</v>
      </c>
      <c r="C61" s="42" t="s">
        <v>72</v>
      </c>
      <c r="D61" s="42" t="s">
        <v>206</v>
      </c>
      <c r="E61" s="43">
        <v>32</v>
      </c>
      <c r="F61" s="42">
        <v>2</v>
      </c>
      <c r="G61" s="42" t="s"/>
      <c r="H61" s="42">
        <v>6</v>
      </c>
      <c r="I61" s="42">
        <v>2</v>
      </c>
      <c r="J61" s="42">
        <v>0.55</v>
      </c>
      <c r="K61" s="44" t="s"/>
    </row>
    <row r="62" spans="1:11" ht="27.6" customHeight="true">
      <c r="A62" s="42">
        <v>7</v>
      </c>
      <c r="B62" s="42" t="s">
        <v>94</v>
      </c>
      <c r="C62" s="42" t="s">
        <v>95</v>
      </c>
      <c r="D62" s="42" t="s">
        <v>206</v>
      </c>
      <c r="E62" s="43">
        <v>88</v>
      </c>
      <c r="F62" s="42">
        <v>6</v>
      </c>
      <c r="G62" s="42" t="s"/>
      <c r="H62" s="42">
        <v>8</v>
      </c>
      <c r="I62" s="42">
        <v>4</v>
      </c>
      <c r="J62" s="42">
        <v>0.8</v>
      </c>
      <c r="K62" s="44" t="s"/>
    </row>
    <row r="63" spans="1:11" ht="15" customHeight="true">
      <c r="A63" s="53" t="s">
        <v>235</v>
      </c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</row>
    <row r="64" spans="1:11" ht="41.4" customHeight="true">
      <c r="A64" s="45">
        <v>8</v>
      </c>
      <c r="B64" s="45" t="s">
        <v>58</v>
      </c>
      <c r="C64" s="45" t="s">
        <v>59</v>
      </c>
      <c r="D64" s="45" t="s">
        <v>207</v>
      </c>
      <c r="E64" s="46">
        <v>56</v>
      </c>
      <c r="F64" s="45">
        <v>4</v>
      </c>
      <c r="G64" s="45" t="s"/>
      <c r="H64" s="45">
        <v>4</v>
      </c>
      <c r="I64" s="45">
        <v>1.3</v>
      </c>
      <c r="J64" s="45" t="s">
        <v>227</v>
      </c>
      <c r="K64" s="47" t="s">
        <v>236</v>
      </c>
    </row>
    <row r="65" spans="1:11" ht="41.4" customHeight="true">
      <c r="A65" s="45">
        <v>8</v>
      </c>
      <c r="B65" s="45" t="s">
        <v>71</v>
      </c>
      <c r="C65" s="45" t="s">
        <v>72</v>
      </c>
      <c r="D65" s="45" t="s">
        <v>207</v>
      </c>
      <c r="E65" s="46">
        <v>40</v>
      </c>
      <c r="F65" s="45">
        <v>2</v>
      </c>
      <c r="G65" s="45" t="s"/>
      <c r="H65" s="45">
        <v>7</v>
      </c>
      <c r="I65" s="45">
        <v>2</v>
      </c>
      <c r="J65" s="45">
        <v>0.55</v>
      </c>
      <c r="K65" s="47" t="s">
        <v>236</v>
      </c>
    </row>
    <row r="66" spans="1:11" ht="41.4" customHeight="true">
      <c r="A66" s="45">
        <v>8</v>
      </c>
      <c r="B66" s="45" t="s">
        <v>94</v>
      </c>
      <c r="C66" s="45" t="s">
        <v>95</v>
      </c>
      <c r="D66" s="45" t="s">
        <v>207</v>
      </c>
      <c r="E66" s="46">
        <v>110</v>
      </c>
      <c r="F66" s="45">
        <v>6</v>
      </c>
      <c r="G66" s="45" t="s"/>
      <c r="H66" s="45">
        <v>9</v>
      </c>
      <c r="I66" s="45">
        <v>4</v>
      </c>
      <c r="J66" s="45">
        <v>0.8</v>
      </c>
      <c r="K66" s="47" t="s">
        <v>236</v>
      </c>
    </row>
    <row r="67" spans="1:11" ht="15" customHeight="true">
      <c r="A67" s="53" t="s">
        <v>237</v>
      </c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</row>
  </sheetData>
  <mergeCells count="10">
    <mergeCell ref="A63:K63"/>
    <mergeCell ref="A51:K51"/>
    <mergeCell ref="A47:K47"/>
    <mergeCell ref="A67:K67"/>
    <mergeCell ref="A27:K27"/>
    <mergeCell ref="A39:K39"/>
    <mergeCell ref="A55:K55"/>
    <mergeCell ref="A59:K59"/>
    <mergeCell ref="A43:K43"/>
    <mergeCell ref="A33:K3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>
  <sheetPr/>
  <dimension ref="Z27"/>
  <sheetViews>
    <sheetView showGridLines="false" zoomScale="115" zoomScaleNormal="115" workbookViewId="0">
      <pane xSplit="4" ySplit="4" topLeftCell="E5" activePane="bottomRight" state="frozen"/>
    </sheetView>
  </sheetViews>
  <sheetFormatPr baseColWidth="8" defaultRowHeight="13.8"/>
  <cols>
    <col min="1" max="1" width="5" customWidth="true"/>
    <col min="2" max="2" width="11" customWidth="true"/>
    <col min="3" max="3" width="10" customWidth="true"/>
    <col min="4" max="4" width="9" customWidth="true"/>
    <col min="5" max="5" width="22" customWidth="true"/>
    <col min="6" max="6" width="16" customWidth="true"/>
    <col min="7" max="7" width="26" customWidth="true"/>
    <col min="8" max="9" width="24" customWidth="true"/>
    <col min="10" max="10" width="12" customWidth="true"/>
    <col min="11" max="11" width="15" customWidth="true"/>
    <col min="12" max="13" width="9" customWidth="true"/>
    <col min="14" max="14" width="8" customWidth="true"/>
    <col min="15" max="15" width="9" customWidth="true"/>
    <col min="16" max="18" width="11" customWidth="true"/>
    <col min="19" max="19" width="15" customWidth="true"/>
    <col min="20" max="20" width="14" customWidth="true"/>
    <col min="21" max="21" width="9" customWidth="true"/>
    <col min="22" max="22" width="11" customWidth="true"/>
    <col min="23" max="23" width="12" customWidth="true"/>
    <col min="24" max="24" width="10" customWidth="true"/>
    <col min="25" max="25" width="9" customWidth="true"/>
    <col min="26" max="26" width="54" customWidth="true"/>
  </cols>
  <sheetData>
    <row r="1" spans="1:26" ht="24" customHeight="true">
      <c r="A1" s="4" t="s">
        <v>1</v>
      </c>
      <c r="B1" s="5" t="s"/>
      <c r="C1" s="5" t="s"/>
      <c r="D1" s="5" t="s"/>
      <c r="E1" s="5" t="s"/>
      <c r="F1" s="5" t="s"/>
      <c r="G1" s="5" t="s"/>
      <c r="H1" s="6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</row>
    <row r="2" spans="1:26" ht="42" customHeight="true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8" t="s"/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</row>
    <row r="3" spans="1:26" ht="18" customHeight="true">
      <c r="A3" s="7" t="s">
        <v>27</v>
      </c>
      <c r="B3" s="7" t="s">
        <v>28</v>
      </c>
      <c r="C3" s="7" t="s">
        <v>28</v>
      </c>
      <c r="D3" s="7" t="s">
        <v>28</v>
      </c>
      <c r="E3" s="7" t="s">
        <v>28</v>
      </c>
      <c r="F3" s="7" t="s">
        <v>29</v>
      </c>
      <c r="G3" s="7" t="s">
        <v>28</v>
      </c>
      <c r="H3" s="8" t="s"/>
      <c r="I3" s="7" t="s">
        <v>28</v>
      </c>
      <c r="J3" s="7" t="s">
        <v>30</v>
      </c>
      <c r="K3" s="7" t="s">
        <v>28</v>
      </c>
      <c r="L3" s="7" t="s">
        <v>30</v>
      </c>
      <c r="M3" s="7" t="s">
        <v>30</v>
      </c>
      <c r="N3" s="7" t="s">
        <v>31</v>
      </c>
      <c r="O3" s="7" t="s">
        <v>31</v>
      </c>
      <c r="P3" s="7" t="s">
        <v>31</v>
      </c>
      <c r="Q3" s="7" t="s">
        <v>30</v>
      </c>
      <c r="R3" s="7" t="s">
        <v>29</v>
      </c>
      <c r="S3" s="7" t="s">
        <v>28</v>
      </c>
      <c r="T3" s="7" t="s">
        <v>28</v>
      </c>
      <c r="U3" s="7" t="s">
        <v>30</v>
      </c>
      <c r="V3" s="7" t="s">
        <v>30</v>
      </c>
      <c r="W3" s="7" t="s">
        <v>28</v>
      </c>
      <c r="X3" s="7" t="s">
        <v>32</v>
      </c>
      <c r="Y3" s="7" t="s">
        <v>28</v>
      </c>
      <c r="Z3" s="7" t="s">
        <v>28</v>
      </c>
    </row>
    <row r="4" spans="1:26" ht="86.25" customHeight="true">
      <c r="A4" s="7" t="s">
        <v>33</v>
      </c>
      <c r="B4" s="7" t="s">
        <v>34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8" t="s"/>
      <c r="I4" s="7" t="s">
        <v>40</v>
      </c>
      <c r="J4" s="7" t="s">
        <v>41</v>
      </c>
      <c r="K4" s="7" t="s">
        <v>42</v>
      </c>
      <c r="L4" s="7" t="s">
        <v>43</v>
      </c>
      <c r="M4" s="7" t="s">
        <v>44</v>
      </c>
      <c r="N4" s="7" t="s">
        <v>45</v>
      </c>
      <c r="O4" s="7" t="s">
        <v>46</v>
      </c>
      <c r="P4" s="7" t="s">
        <v>47</v>
      </c>
      <c r="Q4" s="7" t="s">
        <v>48</v>
      </c>
      <c r="R4" s="7" t="s">
        <v>49</v>
      </c>
      <c r="S4" s="7" t="s">
        <v>50</v>
      </c>
      <c r="T4" s="7" t="s">
        <v>51</v>
      </c>
      <c r="U4" s="7" t="s">
        <v>52</v>
      </c>
      <c r="V4" s="7" t="s">
        <v>53</v>
      </c>
      <c r="W4" s="7" t="s">
        <v>54</v>
      </c>
      <c r="X4" s="7" t="s">
        <v>55</v>
      </c>
      <c r="Y4" s="7" t="s">
        <v>56</v>
      </c>
      <c r="Z4" s="7" t="s">
        <v>57</v>
      </c>
    </row>
    <row r="5" spans="1:26" ht="76.05" customHeight="true">
      <c r="A5" s="9">
        <v>1</v>
      </c>
      <c r="B5" s="9" t="s">
        <v>58</v>
      </c>
      <c r="C5" s="9" t="s">
        <v>59</v>
      </c>
      <c r="D5" s="9" t="s">
        <v>60</v>
      </c>
      <c r="E5" s="10" t="s">
        <v>61</v>
      </c>
      <c r="F5" s="9" t="s">
        <v>62</v>
      </c>
      <c r="G5" s="10" t="s">
        <v>63</v>
      </c>
      <c r="H5" s="11" t="s"/>
      <c r="I5" s="10" t="s">
        <v>64</v>
      </c>
      <c r="J5" s="9">
        <v>0</v>
      </c>
      <c r="K5" s="10" t="s">
        <v>65</v>
      </c>
      <c r="L5" s="9">
        <v>0</v>
      </c>
      <c r="M5" s="9">
        <v>1.3</v>
      </c>
      <c r="N5" s="9" t="s">
        <v>27</v>
      </c>
      <c r="O5" s="9">
        <v>2</v>
      </c>
      <c r="P5" s="9">
        <v>2</v>
      </c>
      <c r="Q5" s="9" t="s">
        <v>27</v>
      </c>
      <c r="R5" s="9" t="s">
        <v>66</v>
      </c>
      <c r="S5" s="10" t="s">
        <v>67</v>
      </c>
      <c r="T5" s="9" t="s">
        <v>68</v>
      </c>
      <c r="U5" s="9" t="s">
        <v>27</v>
      </c>
      <c r="V5" s="9" t="s">
        <v>27</v>
      </c>
      <c r="W5" s="9" t="s">
        <v>27</v>
      </c>
      <c r="X5" s="9" t="s">
        <v>69</v>
      </c>
      <c r="Y5" s="9" t="s">
        <v>27</v>
      </c>
      <c r="Z5" s="10" t="s">
        <v>70</v>
      </c>
    </row>
    <row r="6" spans="1:26" ht="76.05" customHeight="true">
      <c r="A6" s="12">
        <v>2</v>
      </c>
      <c r="B6" s="12" t="s">
        <v>71</v>
      </c>
      <c r="C6" s="12" t="s">
        <v>72</v>
      </c>
      <c r="D6" s="12" t="s">
        <v>73</v>
      </c>
      <c r="E6" s="13" t="s">
        <v>74</v>
      </c>
      <c r="F6" s="12" t="s">
        <v>75</v>
      </c>
      <c r="G6" s="14" t="s">
        <v>76</v>
      </c>
      <c r="H6" s="15" t="s"/>
      <c r="I6" s="13" t="s">
        <v>77</v>
      </c>
      <c r="J6" s="12">
        <v>0.55</v>
      </c>
      <c r="K6" s="13" t="s">
        <v>78</v>
      </c>
      <c r="L6" s="12">
        <v>0.35</v>
      </c>
      <c r="M6" s="12">
        <v>2</v>
      </c>
      <c r="N6" s="12">
        <v>4</v>
      </c>
      <c r="O6" s="12">
        <v>1</v>
      </c>
      <c r="P6" s="12">
        <v>4</v>
      </c>
      <c r="Q6" s="12" t="s">
        <v>27</v>
      </c>
      <c r="R6" s="12" t="s">
        <v>66</v>
      </c>
      <c r="S6" s="13" t="s">
        <v>79</v>
      </c>
      <c r="T6" s="16" t="s">
        <v>80</v>
      </c>
      <c r="U6" s="12" t="s">
        <v>81</v>
      </c>
      <c r="V6" s="12">
        <v>0.12</v>
      </c>
      <c r="W6" s="12" t="s">
        <v>82</v>
      </c>
      <c r="X6" s="12" t="s">
        <v>69</v>
      </c>
      <c r="Y6" s="12" t="s">
        <v>27</v>
      </c>
      <c r="Z6" s="13" t="s">
        <v>83</v>
      </c>
    </row>
    <row r="7" spans="1:26" ht="76.05" customHeight="true">
      <c r="A7" s="12">
        <v>3</v>
      </c>
      <c r="B7" s="12" t="s">
        <v>71</v>
      </c>
      <c r="C7" s="12" t="s">
        <v>72</v>
      </c>
      <c r="D7" s="12" t="s">
        <v>84</v>
      </c>
      <c r="E7" s="13" t="s">
        <v>85</v>
      </c>
      <c r="F7" s="12" t="s">
        <v>86</v>
      </c>
      <c r="G7" s="13" t="s">
        <v>87</v>
      </c>
      <c r="H7" s="15" t="s"/>
      <c r="I7" s="13" t="s">
        <v>88</v>
      </c>
      <c r="J7" s="12">
        <v>0.55</v>
      </c>
      <c r="K7" s="13" t="s">
        <v>89</v>
      </c>
      <c r="L7" s="12">
        <v>0</v>
      </c>
      <c r="M7" s="12">
        <v>2.5</v>
      </c>
      <c r="N7" s="12">
        <v>3</v>
      </c>
      <c r="O7" s="12">
        <v>1</v>
      </c>
      <c r="P7" s="12">
        <v>3</v>
      </c>
      <c r="Q7" s="12" t="s">
        <v>27</v>
      </c>
      <c r="R7" s="12" t="s">
        <v>66</v>
      </c>
      <c r="S7" s="13" t="s">
        <v>79</v>
      </c>
      <c r="T7" s="16" t="s">
        <v>80</v>
      </c>
      <c r="U7" s="12" t="s">
        <v>81</v>
      </c>
      <c r="V7" s="12" t="s">
        <v>90</v>
      </c>
      <c r="W7" s="12" t="s">
        <v>91</v>
      </c>
      <c r="X7" s="12" t="s">
        <v>92</v>
      </c>
      <c r="Y7" s="12" t="s">
        <v>27</v>
      </c>
      <c r="Z7" s="13" t="s">
        <v>93</v>
      </c>
    </row>
    <row r="8" spans="1:26" ht="76.05" customHeight="true">
      <c r="A8" s="17">
        <v>4</v>
      </c>
      <c r="B8" s="17" t="s">
        <v>94</v>
      </c>
      <c r="C8" s="17" t="s">
        <v>95</v>
      </c>
      <c r="D8" s="17" t="s">
        <v>96</v>
      </c>
      <c r="E8" s="18" t="s">
        <v>97</v>
      </c>
      <c r="F8" s="17" t="s">
        <v>98</v>
      </c>
      <c r="G8" s="18" t="s">
        <v>99</v>
      </c>
      <c r="H8" s="19" t="s"/>
      <c r="I8" s="18" t="s">
        <v>100</v>
      </c>
      <c r="J8" s="17">
        <v>0.8</v>
      </c>
      <c r="K8" s="18" t="s">
        <v>101</v>
      </c>
      <c r="L8" s="17">
        <v>0.9</v>
      </c>
      <c r="M8" s="17">
        <v>4</v>
      </c>
      <c r="N8" s="17" t="s">
        <v>27</v>
      </c>
      <c r="O8" s="17">
        <v>3</v>
      </c>
      <c r="P8" s="17">
        <v>3</v>
      </c>
      <c r="Q8" s="17" t="s">
        <v>27</v>
      </c>
      <c r="R8" s="17" t="s">
        <v>66</v>
      </c>
      <c r="S8" s="18" t="s">
        <v>102</v>
      </c>
      <c r="T8" s="20" t="s">
        <v>103</v>
      </c>
      <c r="U8" s="17" t="s">
        <v>27</v>
      </c>
      <c r="V8" s="17" t="s">
        <v>27</v>
      </c>
      <c r="W8" s="17" t="s">
        <v>27</v>
      </c>
      <c r="X8" s="17" t="s">
        <v>69</v>
      </c>
      <c r="Y8" s="17" t="s">
        <v>103</v>
      </c>
      <c r="Z8" s="18" t="s">
        <v>104</v>
      </c>
    </row>
    <row r="9" spans="1:26" ht="76.05" customHeight="true">
      <c r="A9" s="21">
        <v>5</v>
      </c>
      <c r="B9" s="21" t="s">
        <v>105</v>
      </c>
      <c r="C9" s="21" t="s">
        <v>106</v>
      </c>
      <c r="D9" s="21" t="s">
        <v>107</v>
      </c>
      <c r="E9" s="22" t="s">
        <v>108</v>
      </c>
      <c r="F9" s="21" t="s">
        <v>109</v>
      </c>
      <c r="G9" s="22" t="s">
        <v>110</v>
      </c>
      <c r="H9" s="23" t="s"/>
      <c r="I9" s="22" t="s">
        <v>111</v>
      </c>
      <c r="J9" s="21">
        <v>0.8</v>
      </c>
      <c r="K9" s="22" t="s">
        <v>112</v>
      </c>
      <c r="L9" s="21">
        <v>0.5</v>
      </c>
      <c r="M9" s="21">
        <v>3</v>
      </c>
      <c r="N9" s="21" t="s">
        <v>27</v>
      </c>
      <c r="O9" s="21">
        <v>10</v>
      </c>
      <c r="P9" s="21">
        <v>10</v>
      </c>
      <c r="Q9" s="21">
        <v>15</v>
      </c>
      <c r="R9" s="21" t="s">
        <v>113</v>
      </c>
      <c r="S9" s="22" t="s">
        <v>114</v>
      </c>
      <c r="T9" s="24" t="s">
        <v>115</v>
      </c>
      <c r="U9" s="21" t="s">
        <v>27</v>
      </c>
      <c r="V9" s="21" t="s">
        <v>27</v>
      </c>
      <c r="W9" s="21" t="s">
        <v>27</v>
      </c>
      <c r="X9" s="21" t="s">
        <v>69</v>
      </c>
      <c r="Y9" s="21" t="s">
        <v>27</v>
      </c>
      <c r="Z9" s="22" t="s">
        <v>116</v>
      </c>
    </row>
    <row r="10" spans="1:26" ht="76.05" customHeight="true">
      <c r="A10" s="12">
        <v>6</v>
      </c>
      <c r="B10" s="12" t="s">
        <v>105</v>
      </c>
      <c r="C10" s="12" t="s">
        <v>106</v>
      </c>
      <c r="D10" s="12" t="s">
        <v>117</v>
      </c>
      <c r="E10" s="13" t="s">
        <v>118</v>
      </c>
      <c r="F10" s="12" t="s">
        <v>75</v>
      </c>
      <c r="G10" s="13" t="s">
        <v>119</v>
      </c>
      <c r="H10" s="15" t="s"/>
      <c r="I10" s="13" t="s">
        <v>77</v>
      </c>
      <c r="J10" s="12">
        <v>0.8</v>
      </c>
      <c r="K10" s="13" t="s">
        <v>120</v>
      </c>
      <c r="L10" s="12">
        <v>0.5</v>
      </c>
      <c r="M10" s="12">
        <v>3</v>
      </c>
      <c r="N10" s="12">
        <v>4</v>
      </c>
      <c r="O10" s="12">
        <v>5</v>
      </c>
      <c r="P10" s="12">
        <v>20</v>
      </c>
      <c r="Q10" s="12">
        <v>30</v>
      </c>
      <c r="R10" s="12" t="s">
        <v>113</v>
      </c>
      <c r="S10" s="13" t="s">
        <v>79</v>
      </c>
      <c r="T10" s="16" t="s">
        <v>121</v>
      </c>
      <c r="U10" s="25">
        <v>8.4</v>
      </c>
      <c r="V10" s="12">
        <v>0.15</v>
      </c>
      <c r="W10" s="12" t="s">
        <v>82</v>
      </c>
      <c r="X10" s="12" t="s">
        <v>69</v>
      </c>
      <c r="Y10" s="12" t="s">
        <v>27</v>
      </c>
      <c r="Z10" s="13" t="s">
        <v>122</v>
      </c>
    </row>
    <row r="11" spans="1:26" ht="76.05" customHeight="true">
      <c r="A11" s="12">
        <v>7</v>
      </c>
      <c r="B11" s="12" t="s">
        <v>105</v>
      </c>
      <c r="C11" s="12" t="s">
        <v>106</v>
      </c>
      <c r="D11" s="12" t="s">
        <v>123</v>
      </c>
      <c r="E11" s="13" t="s">
        <v>124</v>
      </c>
      <c r="F11" s="12" t="s">
        <v>86</v>
      </c>
      <c r="G11" s="13" t="s">
        <v>125</v>
      </c>
      <c r="H11" s="15" t="s"/>
      <c r="I11" s="13" t="s">
        <v>88</v>
      </c>
      <c r="J11" s="12">
        <v>0.8</v>
      </c>
      <c r="K11" s="13" t="s">
        <v>126</v>
      </c>
      <c r="L11" s="12">
        <v>0</v>
      </c>
      <c r="M11" s="12">
        <v>2</v>
      </c>
      <c r="N11" s="12">
        <v>3</v>
      </c>
      <c r="O11" s="12">
        <v>5</v>
      </c>
      <c r="P11" s="12">
        <v>15</v>
      </c>
      <c r="Q11" s="12">
        <v>22.5</v>
      </c>
      <c r="R11" s="12" t="s">
        <v>113</v>
      </c>
      <c r="S11" s="13" t="s">
        <v>79</v>
      </c>
      <c r="T11" s="16" t="s">
        <v>121</v>
      </c>
      <c r="U11" s="25">
        <v>8.4</v>
      </c>
      <c r="V11" s="12" t="s">
        <v>90</v>
      </c>
      <c r="W11" s="12" t="s">
        <v>91</v>
      </c>
      <c r="X11" s="12" t="s">
        <v>92</v>
      </c>
      <c r="Y11" s="12" t="s">
        <v>27</v>
      </c>
      <c r="Z11" s="13" t="s">
        <v>127</v>
      </c>
    </row>
    <row r="12" spans="1:26" ht="76.05" customHeight="true">
      <c r="A12" s="21">
        <v>8</v>
      </c>
      <c r="B12" s="21" t="s">
        <v>105</v>
      </c>
      <c r="C12" s="21" t="s">
        <v>106</v>
      </c>
      <c r="D12" s="21" t="s">
        <v>128</v>
      </c>
      <c r="E12" s="22" t="s">
        <v>129</v>
      </c>
      <c r="F12" s="21" t="s">
        <v>130</v>
      </c>
      <c r="G12" s="22" t="s">
        <v>131</v>
      </c>
      <c r="H12" s="23" t="s"/>
      <c r="I12" s="22" t="s">
        <v>132</v>
      </c>
      <c r="J12" s="21" t="s">
        <v>133</v>
      </c>
      <c r="K12" s="22" t="s">
        <v>134</v>
      </c>
      <c r="L12" s="21">
        <v>0.5</v>
      </c>
      <c r="M12" s="21">
        <v>5</v>
      </c>
      <c r="N12" s="21" t="s">
        <v>27</v>
      </c>
      <c r="O12" s="21">
        <v>30</v>
      </c>
      <c r="P12" s="21">
        <v>30</v>
      </c>
      <c r="Q12" s="21">
        <v>45</v>
      </c>
      <c r="R12" s="21" t="s">
        <v>113</v>
      </c>
      <c r="S12" s="22" t="s">
        <v>135</v>
      </c>
      <c r="T12" s="26" t="s">
        <v>136</v>
      </c>
      <c r="U12" s="21" t="s">
        <v>27</v>
      </c>
      <c r="V12" s="21" t="s">
        <v>27</v>
      </c>
      <c r="W12" s="21" t="s">
        <v>27</v>
      </c>
      <c r="X12" s="21" t="s">
        <v>137</v>
      </c>
      <c r="Y12" s="21" t="s">
        <v>138</v>
      </c>
      <c r="Z12" s="27" t="s">
        <v>139</v>
      </c>
    </row>
    <row r="13" spans="1:26" ht="76.05" customHeight="true">
      <c r="A13" s="28">
        <v>9</v>
      </c>
      <c r="B13" s="28" t="s">
        <v>105</v>
      </c>
      <c r="C13" s="28" t="s">
        <v>106</v>
      </c>
      <c r="D13" s="28" t="s">
        <v>140</v>
      </c>
      <c r="E13" s="29" t="s">
        <v>141</v>
      </c>
      <c r="F13" s="28" t="s">
        <v>142</v>
      </c>
      <c r="G13" s="29" t="s">
        <v>143</v>
      </c>
      <c r="H13" s="30" t="s"/>
      <c r="I13" s="29" t="s">
        <v>144</v>
      </c>
      <c r="J13" s="28">
        <v>2</v>
      </c>
      <c r="K13" s="29" t="s">
        <v>145</v>
      </c>
      <c r="L13" s="28">
        <v>1</v>
      </c>
      <c r="M13" s="28" t="s">
        <v>146</v>
      </c>
      <c r="N13" s="28" t="s">
        <v>27</v>
      </c>
      <c r="O13" s="28" t="s">
        <v>147</v>
      </c>
      <c r="P13" s="28" t="s">
        <v>148</v>
      </c>
      <c r="Q13" s="28" t="s">
        <v>149</v>
      </c>
      <c r="R13" s="28" t="s">
        <v>113</v>
      </c>
      <c r="S13" s="29" t="s">
        <v>150</v>
      </c>
      <c r="T13" s="31" t="s">
        <v>151</v>
      </c>
      <c r="U13" s="28" t="s">
        <v>27</v>
      </c>
      <c r="V13" s="28" t="s">
        <v>27</v>
      </c>
      <c r="W13" s="28" t="s">
        <v>27</v>
      </c>
      <c r="X13" s="28" t="s">
        <v>69</v>
      </c>
      <c r="Y13" s="28" t="s">
        <v>27</v>
      </c>
      <c r="Z13" s="32" t="s">
        <v>152</v>
      </c>
    </row>
    <row r="15" spans="1:26" ht="19.95" customHeight="true">
      <c r="A15" s="33" t="s">
        <v>153</v>
      </c>
      <c r="B15" s="5" t="s"/>
      <c r="C15" s="5" t="s"/>
      <c r="D15" s="5" t="s"/>
      <c r="E15" s="5" t="s"/>
      <c r="F15" s="5" t="s"/>
      <c r="G15" s="5" t="s"/>
      <c r="H15" s="34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  <c r="Z15" s="5" t="s"/>
    </row>
    <row r="16" spans="1:26" ht="31.95" customHeight="true">
      <c r="A16" s="7" t="s">
        <v>2</v>
      </c>
      <c r="B16" s="7" t="s">
        <v>154</v>
      </c>
      <c r="C16" s="7" t="s">
        <v>155</v>
      </c>
      <c r="D16" s="7" t="s">
        <v>156</v>
      </c>
      <c r="E16" s="7" t="s">
        <v>157</v>
      </c>
      <c r="F16" s="7" t="s"/>
      <c r="G16" s="7" t="s"/>
      <c r="H16" s="8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>
        <v>158</v>
      </c>
    </row>
    <row r="17" spans="1:26" ht="31.95" customHeight="true">
      <c r="A17" s="9">
        <v>1</v>
      </c>
      <c r="B17" s="10" t="s">
        <v>159</v>
      </c>
      <c r="C17" s="9" t="s">
        <v>160</v>
      </c>
      <c r="D17" s="9" t="s">
        <v>161</v>
      </c>
      <c r="E17" s="9" t="s">
        <v>162</v>
      </c>
      <c r="F17" s="9" t="s"/>
      <c r="G17" s="9" t="s"/>
      <c r="H17" s="35" t="s"/>
      <c r="I17" s="9" t="s"/>
      <c r="J17" s="9" t="s"/>
      <c r="K17" s="9" t="s"/>
      <c r="L17" s="9" t="s"/>
      <c r="M17" s="9" t="s"/>
      <c r="N17" s="9" t="s"/>
      <c r="O17" s="9" t="s"/>
      <c r="P17" s="9" t="s"/>
      <c r="Q17" s="9" t="s"/>
      <c r="R17" s="9" t="s"/>
      <c r="S17" s="9" t="s"/>
      <c r="T17" s="9" t="s"/>
      <c r="U17" s="9" t="s"/>
      <c r="V17" s="9" t="s"/>
      <c r="W17" s="9" t="s"/>
      <c r="X17" s="9" t="s"/>
      <c r="Y17" s="9" t="s"/>
      <c r="Z17" s="10" t="s">
        <v>163</v>
      </c>
    </row>
    <row r="18" spans="1:26" ht="31.95" customHeight="true">
      <c r="A18" s="9">
        <v>2</v>
      </c>
      <c r="B18" s="10" t="s">
        <v>164</v>
      </c>
      <c r="C18" s="9" t="s">
        <v>160</v>
      </c>
      <c r="D18" s="9" t="s">
        <v>165</v>
      </c>
      <c r="E18" s="9" t="s">
        <v>162</v>
      </c>
      <c r="F18" s="9" t="s"/>
      <c r="G18" s="9" t="s"/>
      <c r="H18" s="35" t="s"/>
      <c r="I18" s="9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10" t="s">
        <v>166</v>
      </c>
    </row>
    <row r="19" spans="1:26" ht="31.95" customHeight="true">
      <c r="A19" s="9">
        <v>3</v>
      </c>
      <c r="B19" s="10" t="s">
        <v>167</v>
      </c>
      <c r="C19" s="9" t="s">
        <v>168</v>
      </c>
      <c r="D19" s="9" t="s">
        <v>169</v>
      </c>
      <c r="E19" s="9" t="s">
        <v>162</v>
      </c>
      <c r="F19" s="9" t="s"/>
      <c r="G19" s="9" t="s"/>
      <c r="H19" s="35" t="s"/>
      <c r="I19" s="9" t="s"/>
      <c r="J19" s="9" t="s"/>
      <c r="K19" s="9" t="s"/>
      <c r="L19" s="9" t="s"/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/>
      <c r="W19" s="9" t="s"/>
      <c r="X19" s="9" t="s"/>
      <c r="Y19" s="9" t="s"/>
      <c r="Z19" s="10" t="s">
        <v>170</v>
      </c>
    </row>
    <row r="20" spans="1:26" ht="31.95" customHeight="true">
      <c r="A20" s="36">
        <v>4</v>
      </c>
      <c r="B20" s="37" t="s">
        <v>171</v>
      </c>
      <c r="C20" s="36" t="s">
        <v>160</v>
      </c>
      <c r="D20" s="36" t="s">
        <v>172</v>
      </c>
      <c r="E20" s="36" t="s">
        <v>173</v>
      </c>
      <c r="F20" s="36" t="s"/>
      <c r="G20" s="36" t="s"/>
      <c r="H20" s="38" t="s"/>
      <c r="I20" s="36" t="s"/>
      <c r="J20" s="36" t="s"/>
      <c r="K20" s="36" t="s"/>
      <c r="L20" s="36" t="s"/>
      <c r="M20" s="36" t="s"/>
      <c r="N20" s="36" t="s"/>
      <c r="O20" s="36" t="s"/>
      <c r="P20" s="36" t="s"/>
      <c r="Q20" s="36" t="s"/>
      <c r="R20" s="36" t="s"/>
      <c r="S20" s="36" t="s"/>
      <c r="T20" s="36" t="s"/>
      <c r="U20" s="36" t="s"/>
      <c r="V20" s="36" t="s"/>
      <c r="W20" s="36" t="s"/>
      <c r="X20" s="36" t="s"/>
      <c r="Y20" s="36" t="s"/>
      <c r="Z20" s="37" t="s">
        <v>174</v>
      </c>
    </row>
    <row r="21" spans="1:26" ht="31.95" customHeight="true">
      <c r="A21" s="36">
        <v>5</v>
      </c>
      <c r="B21" s="37" t="s">
        <v>175</v>
      </c>
      <c r="C21" s="36" t="s">
        <v>160</v>
      </c>
      <c r="D21" s="36" t="s">
        <v>172</v>
      </c>
      <c r="E21" s="36" t="s">
        <v>173</v>
      </c>
      <c r="F21" s="36" t="s"/>
      <c r="G21" s="36" t="s"/>
      <c r="H21" s="38" t="s"/>
      <c r="I21" s="36" t="s"/>
      <c r="J21" s="36" t="s"/>
      <c r="K21" s="36" t="s"/>
      <c r="L21" s="36" t="s"/>
      <c r="M21" s="36" t="s"/>
      <c r="N21" s="36" t="s"/>
      <c r="O21" s="36" t="s"/>
      <c r="P21" s="36" t="s"/>
      <c r="Q21" s="36" t="s"/>
      <c r="R21" s="36" t="s"/>
      <c r="S21" s="36" t="s"/>
      <c r="T21" s="36" t="s"/>
      <c r="U21" s="36" t="s"/>
      <c r="V21" s="36" t="s"/>
      <c r="W21" s="36" t="s"/>
      <c r="X21" s="36" t="s"/>
      <c r="Y21" s="36" t="s"/>
      <c r="Z21" s="37" t="s">
        <v>176</v>
      </c>
    </row>
    <row r="22" spans="1:26" ht="19.95" customHeight="true">
      <c r="A22" s="33" t="s">
        <v>177</v>
      </c>
      <c r="B22" s="5" t="s"/>
      <c r="C22" s="5" t="s"/>
      <c r="D22" s="5" t="s"/>
      <c r="E22" s="5" t="s"/>
      <c r="F22" s="5" t="s"/>
      <c r="G22" s="5" t="s"/>
      <c r="H22" s="34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  <c r="Z22" s="5" t="s"/>
    </row>
    <row r="23" spans="1:26" ht="24" customHeight="true">
      <c r="A23" s="39" t="s">
        <v>178</v>
      </c>
      <c r="B23" s="5" t="s"/>
      <c r="C23" s="5" t="s"/>
      <c r="D23" s="5" t="s"/>
      <c r="E23" s="5" t="s"/>
      <c r="F23" s="5" t="s"/>
      <c r="G23" s="5" t="s"/>
      <c r="H23" s="40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  <c r="Z23" s="5" t="s"/>
    </row>
    <row r="24" spans="1:26" ht="24" customHeight="true">
      <c r="A24" s="39" t="s">
        <v>179</v>
      </c>
      <c r="B24" s="5" t="s"/>
      <c r="C24" s="5" t="s"/>
      <c r="D24" s="5" t="s"/>
      <c r="E24" s="5" t="s"/>
      <c r="F24" s="5" t="s"/>
      <c r="G24" s="5" t="s"/>
      <c r="H24" s="40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  <c r="Z24" s="5" t="s"/>
    </row>
    <row r="25" spans="1:26" ht="24" customHeight="true">
      <c r="A25" s="39" t="s">
        <v>180</v>
      </c>
      <c r="B25" s="5" t="s"/>
      <c r="C25" s="5" t="s"/>
      <c r="D25" s="5" t="s"/>
      <c r="E25" s="5" t="s"/>
      <c r="F25" s="5" t="s"/>
      <c r="G25" s="5" t="s"/>
      <c r="H25" s="40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  <c r="Z25" s="5" t="s"/>
    </row>
    <row r="26" spans="1:26" ht="24" customHeight="true">
      <c r="A26" s="39" t="s">
        <v>181</v>
      </c>
      <c r="B26" s="5" t="s"/>
      <c r="C26" s="5" t="s"/>
      <c r="D26" s="5" t="s"/>
      <c r="E26" s="5" t="s"/>
      <c r="F26" s="5" t="s"/>
      <c r="G26" s="5" t="s"/>
      <c r="H26" s="40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  <c r="Z26" s="5" t="s"/>
    </row>
    <row r="27" spans="1:26" ht="24" customHeight="true">
      <c r="A27" s="39" t="s">
        <v>182</v>
      </c>
      <c r="B27" s="5" t="s"/>
      <c r="C27" s="5" t="s"/>
      <c r="D27" s="5" t="s"/>
      <c r="E27" s="5" t="s"/>
      <c r="F27" s="5" t="s"/>
      <c r="G27" s="5" t="s"/>
      <c r="H27" s="40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  <c r="Z27" s="5" t="s"/>
    </row>
  </sheetData>
  <mergeCells count="8">
    <mergeCell ref="A27:Z27"/>
    <mergeCell ref="A22:Z22"/>
    <mergeCell ref="A26:Z26"/>
    <mergeCell ref="A24:Z24"/>
    <mergeCell ref="A25:Z25"/>
    <mergeCell ref="A23:Z23"/>
    <mergeCell ref="A15:Z15"/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双形态">
    <tabColor/>
  </sheetPr>
  <dimension ref="A4"/>
  <sheetViews>
    <sheetView showGridLines="true" workbookViewId="0"/>
  </sheetViews>
  <sheetFormatPr baseColWidth="13" defaultRowHeight="18" customHeight="true"/>
  <sheetData>
    <row r="1" spans="1:1">
      <c r="A1" t="s">
        <v>183</v>
      </c>
    </row>
    <row r="2" spans="1:1">
      <c r="A2" t="s">
        <v>184</v>
      </c>
    </row>
    <row r="3" spans="1:1">
      <c r="A3" t="s">
        <v>185</v>
      </c>
    </row>
    <row r="4" spans="1:1">
      <c r="A4" t="s">
        <v>186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2026-08-21T17:42:02Z</dcterms:created>
  <dcterms:modified xsi:type="dcterms:W3CDTF">2026-08-21T17:42:02Z</dcterms:modified>
</cp:coreProperties>
</file>